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Salvador\Desktop\"/>
    </mc:Choice>
  </mc:AlternateContent>
  <xr:revisionPtr revIDLastSave="0" documentId="8_{288D1560-39BE-4A77-B5BC-4662AF49BD5F}" xr6:coauthVersionLast="47" xr6:coauthVersionMax="47" xr10:uidLastSave="{00000000-0000-0000-0000-000000000000}"/>
  <bookViews>
    <workbookView xWindow="-110" yWindow="-110" windowWidth="21820" windowHeight="13900" tabRatio="500" xr2:uid="{00000000-000D-0000-FFFF-FFFF00000000}"/>
  </bookViews>
  <sheets>
    <sheet name="Input_Data" sheetId="1" r:id="rId1"/>
    <sheet name="Analysis" sheetId="2" r:id="rId2"/>
    <sheet name="My_Position" sheetId="3" r:id="rId3"/>
    <sheet name="Guid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2" l="1"/>
  <c r="C15" i="2"/>
  <c r="B15" i="2"/>
  <c r="E14" i="2"/>
  <c r="C14" i="2"/>
  <c r="B14" i="2"/>
  <c r="E13" i="2"/>
  <c r="C13" i="2"/>
  <c r="B13" i="2"/>
  <c r="E11" i="2"/>
  <c r="B11" i="2"/>
  <c r="E10" i="2"/>
  <c r="B10" i="2"/>
  <c r="E9" i="2"/>
  <c r="C9" i="2"/>
  <c r="B9" i="2"/>
  <c r="E7" i="2"/>
  <c r="C7" i="2"/>
  <c r="B7" i="2"/>
  <c r="E6" i="2"/>
  <c r="C6" i="2"/>
  <c r="B6" i="2"/>
  <c r="B56" i="3"/>
  <c r="E55" i="3"/>
  <c r="B55" i="3"/>
  <c r="E56" i="3" s="1"/>
  <c r="E53" i="3"/>
  <c r="B53" i="3"/>
  <c r="E49" i="3"/>
  <c r="C49" i="3"/>
  <c r="B49" i="3"/>
  <c r="E47" i="3"/>
  <c r="A57" i="3" s="1"/>
  <c r="B38" i="3"/>
  <c r="B35" i="3"/>
  <c r="B34" i="3"/>
  <c r="B32" i="3"/>
  <c r="C29" i="3"/>
  <c r="B28" i="3"/>
  <c r="C28" i="3" s="1"/>
  <c r="B27" i="3"/>
  <c r="C27" i="3" s="1"/>
  <c r="B26" i="3"/>
  <c r="C26" i="3" s="1"/>
  <c r="C23" i="3"/>
  <c r="D23" i="3" s="1"/>
  <c r="C19" i="3"/>
  <c r="C20" i="3" s="1"/>
  <c r="B19" i="3"/>
  <c r="C17" i="3"/>
  <c r="C18" i="3" s="1"/>
  <c r="B17" i="3"/>
  <c r="D19" i="3" l="1"/>
  <c r="B20" i="3"/>
  <c r="B18" i="3"/>
  <c r="D18" i="3" s="1"/>
  <c r="D17" i="3"/>
  <c r="C21" i="3"/>
  <c r="C22" i="3" s="1"/>
  <c r="B21" i="3" l="1"/>
  <c r="B22" i="3" s="1"/>
  <c r="D20" i="3"/>
  <c r="D21" i="3" l="1"/>
  <c r="D22" i="3" s="1"/>
  <c r="D26" i="3"/>
  <c r="E27" i="3"/>
  <c r="D28" i="3"/>
  <c r="E28" i="3"/>
  <c r="D29" i="3"/>
  <c r="E29" i="3"/>
  <c r="E26" i="3"/>
  <c r="D27" i="3"/>
</calcChain>
</file>

<file path=xl/sharedStrings.xml><?xml version="1.0" encoding="utf-8"?>
<sst xmlns="http://schemas.openxmlformats.org/spreadsheetml/2006/main" count="227" uniqueCount="213">
  <si>
    <t>📊  ETF ANALYSIS — INPUT DATA</t>
  </si>
  <si>
    <t>🟡 YELLOW = enter manually · Sources: Yahoo Finance (Statistics) · Issuer site (Vanguard, iShares, SPDR) · ETF.com</t>
  </si>
  <si>
    <t>FIELD</t>
  </si>
  <si>
    <t>ETF</t>
  </si>
  <si>
    <t>REFERENCE / BENCHMARK</t>
  </si>
  <si>
    <t>GENERAL INFORMATION</t>
  </si>
  <si>
    <t>ETF Name
→ Full name of the fund</t>
  </si>
  <si>
    <t>Ticker / Symbol</t>
  </si>
  <si>
    <t>Index Tracked
→ Index the ETF replicates</t>
  </si>
  <si>
    <t>Issuer
→ Vanguard / iShares / SPDR / other</t>
  </si>
  <si>
    <t>Asset Class
→ Equity / Bond / Commodity / Mixed</t>
  </si>
  <si>
    <t>Geography / Sector
→ USA / Europe / Emerging / Sector</t>
  </si>
  <si>
    <t>Currency
→ USD / EUR / MXN</t>
  </si>
  <si>
    <t>Analysis Date</t>
  </si>
  <si>
    <t>📋 COST &amp; SIZE</t>
  </si>
  <si>
    <t>Expense Ratio (%)
→ ETF issuer site or ETF.com → "Expense Ratio"</t>
  </si>
  <si>
    <t>AUM — Assets Under Management (USD billions)
→ ETF.com or Yahoo Finance → "Net Assets"</t>
  </si>
  <si>
    <t>Average Daily Volume (shares)
→ Yahoo Finance → "Avg Volume"</t>
  </si>
  <si>
    <t>Bid-Ask Spread (%)
→ ETF.com → "Spread"  (lower = more liquid)</t>
  </si>
  <si>
    <t>Number of Holdings
→ ETF issuer site → Holdings section</t>
  </si>
  <si>
    <t>📈 PERFORMANCE</t>
  </si>
  <si>
    <t>YTD Return (%)
→ Yahoo Finance → Performance tab</t>
  </si>
  <si>
    <t>1-Year Return (%)
→ Yahoo Finance → Performance tab</t>
  </si>
  <si>
    <t>3-Year Annualized Return (%)
→ Yahoo Finance → Performance tab</t>
  </si>
  <si>
    <t>5-Year Annualized Return (%)
→ Yahoo Finance → Performance tab</t>
  </si>
  <si>
    <t>10-Year Annualized Return (%)
→ Yahoo Finance → Performance tab</t>
  </si>
  <si>
    <t>Benchmark 1-Year Return (%)
→ Compare vs index return on Yahoo Finance</t>
  </si>
  <si>
    <t>Tracking Difference (%)
→ ETF.com → Efficiency section  (lower = more faithful to index)</t>
  </si>
  <si>
    <t>Beta vs S&amp;P 500
→ Yahoo Finance → Statistics tab  (1.0 = moves like S&amp;P)</t>
  </si>
  <si>
    <t>💰 INCOME &amp; DISTRIBUTION</t>
  </si>
  <si>
    <t>Dividend Yield (%)
→ Yahoo Finance → Statistics → "Yield"</t>
  </si>
  <si>
    <t>Distribution Frequency  (Monthly / Quarterly / Annual)
→ ETF issuer site</t>
  </si>
  <si>
    <t>Last Distribution Per Share (USD)
→ ETF issuer site → Distributions</t>
  </si>
  <si>
    <t>30-Day SEC Yield (%)
→ Issuer site (vanguard.com / ishares.com / ssga.com) — more precise than Dividend Yield</t>
  </si>
  <si>
    <t>🏆 TOP 10 HOLDINGS
→ ETF issuer site or ETF.com → Holdings tab</t>
  </si>
  <si>
    <t>RANK</t>
  </si>
  <si>
    <t>COMPANY / ASSET</t>
  </si>
  <si>
    <t>% OF FUND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</si>
  <si>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</si>
  <si>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</si>
  <si>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</si>
  <si>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</si>
  <si>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</si>
  <si>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</si>
  <si>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</si>
  <si>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</si>
  <si>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</si>
  <si>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</si>
  <si>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📌 Sources: Yahoo Finance → Statistics (Expense Ratio, Yield, Beta, AUM) · ETF.com (Tracking Difference) · Issuer site (distributions, 30-Day SEC Yield)</t>
  </si>
  <si>
    <t>📌 File naming: AF_ETF_TICKER_YYYYMM.xlsx  e.g.: AF_ETF_VOO_202608.xlsx</t>
  </si>
  <si>
    <t>📈  ETF ANALYSIS — METRICS &amp; SIGNALS</t>
  </si>
  <si>
    <t>Signals calculate automatically from Input_Data. Update yellow cells to refresh.</t>
  </si>
  <si>
    <t>🟢 GOOD   🟡 REVIEW   🔴 ALERT   ⚪ N/A   Note: for ETFs, cost (expense ratio) and index fidelity (tracking difference) matter more than past returns.</t>
  </si>
  <si>
    <t>METRIC</t>
  </si>
  <si>
    <t>VS BENCHMARK</t>
  </si>
  <si>
    <t>INTERPRETATION</t>
  </si>
  <si>
    <t>SIGNAL</t>
  </si>
  <si>
    <t>── COST &amp; EFFICIENCY ──</t>
  </si>
  <si>
    <t>Expense Ratio
(Annual fee)</t>
  </si>
  <si>
    <t>Lower = better. &lt;0.10% excellent · 0.10-0.50% good · &gt;0.50% expensive for a passive ETF.</t>
  </si>
  <si>
    <t>Tracking Difference
(Index fidelity)</t>
  </si>
  <si>
    <t>Lower = more faithful to the index. &lt;0.10% excellent · &gt;0.50% alert.</t>
  </si>
  <si>
    <t>── PERFORMANCE ──</t>
  </si>
  <si>
    <t>1-Year Return</t>
  </si>
  <si>
    <t>Compare vs 1-year benchmark (col 3). BEATS = ETF outperformed its index. IN LINE = &lt;2% diff. LAGS = below index.</t>
  </si>
  <si>
    <t>3-Year Annualized</t>
  </si>
  <si>
    <t>N/A</t>
  </si>
  <si>
    <t>&gt;10% annualised over 3 years is solid for equity. Compare vs similar benchmarks.</t>
  </si>
  <si>
    <t>5-Year Annualized</t>
  </si>
  <si>
    <t>N/D</t>
  </si>
  <si>
    <t>Most representative horizon for long-term ETF investors.</t>
  </si>
  <si>
    <t>── INCOME &amp; LIQUIDITY ──</t>
  </si>
  <si>
    <t>Dividend Yield</t>
  </si>
  <si>
    <t>1-3% typical for equity ETFs. &gt;4% for bond ETFs. Depends on fund objective.</t>
  </si>
  <si>
    <t>AUM (USD billions)</t>
  </si>
  <si>
    <t>&gt;1B USD = sufficient liquidity. &lt;100M USD = closure risk.</t>
  </si>
  <si>
    <t>Beta vs S&amp;P 500</t>
  </si>
  <si>
    <t>1.0 = moves like S&amp;P. &gt;1.2 more volatile · &lt;0.8 more defensive.</t>
  </si>
  <si>
    <t>⚠️  For ETFs, expense ratio and tracking difference matter more than past returns. A cheap, index-faithful ETF typically wins over the long run.</t>
  </si>
  <si>
    <t>📊  MY POSITION IN [TICKER] — Personal Analysis</t>
  </si>
  <si>
    <t>🟡 YELLOW = update manually  ·  🔵 BLUE = auto-calculated  ·  Fill both markets if applicable (e.g. EUR→USD and direct USD), or only one.</t>
  </si>
  <si>
    <t>🛒  MY PURCHASES</t>
  </si>
  <si>
    <t>MARKET 1
(e.g. EUR→USD or local currency)</t>
  </si>
  <si>
    <t>MARKET 2
(e.g. direct USD)</t>
  </si>
  <si>
    <t>TOTAL / COMBINED</t>
  </si>
  <si>
    <t>NOTES</t>
  </si>
  <si>
    <t>Number of shares purchased</t>
  </si>
  <si>
    <t>Avg purchase price (local currency)
→ From your broker transaction history</t>
  </si>
  <si>
    <t>Purchase currency</t>
  </si>
  <si>
    <t>FX rate at time of purchase (local/USD)
→ Use EUR/USD, MXN/USD, or 1 if already USD</t>
  </si>
  <si>
    <t>Purchase date (approximate)</t>
  </si>
  <si>
    <t>💹  CURRENT PRICE (update each time you analyse)</t>
  </si>
  <si>
    <t>MARKET 1</t>
  </si>
  <si>
    <t>MARKET 2</t>
  </si>
  <si>
    <t>Current price per share (local currency)
→ stockanalysis.com/etf/voo → live price</t>
  </si>
  <si>
    <t>Current FX rate (local/USD)
→ Google "EUR USD rate" or XE.com</t>
  </si>
  <si>
    <t>Price date</t>
  </si>
  <si>
    <t>📈  POSITION ANALYSIS (auto-calculated)</t>
  </si>
  <si>
    <t>TOTAL (USD)</t>
  </si>
  <si>
    <t>Total purchase cost (local currency)</t>
  </si>
  <si>
    <t>Combined total in USD</t>
  </si>
  <si>
    <t>Total cost in local currency</t>
  </si>
  <si>
    <t>Market 1 in local currency · Market 2 converted at purchase FX rate</t>
  </si>
  <si>
    <t>Current value (local currency)</t>
  </si>
  <si>
    <t>Current value in local currency</t>
  </si>
  <si>
    <t>Market 1 in local currency · Market 2 at current FX rate</t>
  </si>
  <si>
    <t>Gain / Loss (local currency)</t>
  </si>
  <si>
    <t>Positive = unrealised gain · Negative = unrealised loss</t>
  </si>
  <si>
    <t>Return (%)</t>
  </si>
  <si>
    <t>Return on initial investment</t>
  </si>
  <si>
    <t>FX Effect (local currency)</t>
  </si>
  <si>
    <t>How much you gained/lost purely from currency movement</t>
  </si>
  <si>
    <t>⏱️  RULE OF 72 &amp; PROJECTIONS (based on historical returns)</t>
  </si>
  <si>
    <t>SCENARIO</t>
  </si>
  <si>
    <t>RATE USED</t>
  </si>
  <si>
    <t>YEARS TO DOUBLE</t>
  </si>
  <si>
    <t>VALUE IN 5 YEARS</t>
  </si>
  <si>
    <t>VALUE IN 10 YEARS</t>
  </si>
  <si>
    <t>5-Year annualized return (historical)</t>
  </si>
  <si>
    <t>10-Year annualized return (historical)</t>
  </si>
  <si>
    <t>1-Year return (most recent)</t>
  </si>
  <si>
    <t>Conservative scenario (7%/yr)</t>
  </si>
  <si>
    <t>🎯  BREAK-EVEN &amp; VALUATION</t>
  </si>
  <si>
    <t>VALUE</t>
  </si>
  <si>
    <t>Break-even price — Market 1 (local currency)</t>
  </si>
  <si>
    <t>You are in profit if current price &gt; this</t>
  </si>
  <si>
    <t>Break-even price — Market 2 (USD)</t>
  </si>
  <si>
    <t>Have I recouped my investment? (Market 1)</t>
  </si>
  <si>
    <t>Compares current price vs purchase price</t>
  </si>
  <si>
    <t>Have I recouped my investment? (Market 2)</t>
  </si>
  <si>
    <t>S&amp;P 500 P/E Ratio (is the market expensive?)
→ stockanalysis.com/etf/voo → "PE Ratio"</t>
  </si>
  <si>
    <t>&lt;17x cheap historically · 17-25x fair · &gt;25x expensive</t>
  </si>
  <si>
    <t>ETF NAV (net asset value)
→ stockanalysis.com/etf/voo → "NAV"</t>
  </si>
  <si>
    <t>If price &gt; NAV the ETF trades at a premium.</t>
  </si>
  <si>
    <t>Premium / Discount vs NAV (%)</t>
  </si>
  <si>
    <t>&lt; 0.10% normal for large ETFs. &gt; 0.50% means you are paying significantly above NAV.</t>
  </si>
  <si>
    <t>🟡 YELLOW = update manually  |  🔵 BLUE = auto-calculated  |  Update price and FX rate each time you analyse.</t>
  </si>
  <si>
    <t>📌 Rule of 72: divide 72 by the annual rate (%) to find how many years your money doubles. E.g.: 10% → 72/10 = 7.2 years.</t>
  </si>
  <si>
    <t>🎯  BUY ZONE — [TICKER]: When is it attractive to buy?</t>
  </si>
  <si>
    <t>🟡 Update yellow cells each month or quarter  ·  stockanalysis.com/etf/voo has everything on one screen.</t>
  </si>
  <si>
    <t>DATA FIELD / EXACT SOURCE</t>
  </si>
  <si>
    <t>CURRENT VALUE
(🟡 you fill this in)</t>
  </si>
  <si>
    <t>ATTRACTIVE ZONE</t>
  </si>
  <si>
    <t>EXPENSIVE ZONE</t>
  </si>
  <si>
    <t>── 1. P/E RATIO  (Is the market expensive?) ──</t>
  </si>
  <si>
    <t>P/E Ratio
→ stockanalysis.com/etf/voo → "PE Ratio"</t>
  </si>
  <si>
    <t>&lt; 25.03x  (annual low)</t>
  </si>
  <si>
    <t>&gt; 29.65x  (annual high)</t>
  </si>
  <si>
    <t>10-Year Avg P/E
→ macrotrends.net → search "S&amp;P 500 PE Ratio" → read historical table → average last 10 years manually</t>
  </si>
  <si>
    <t>Average the historical P/E table at macrotrends.net for the last 10 years</t>
  </si>
  <si>
    <t>📊 P/E vs. 10-Year Average
(premium or discount vs own history)</t>
  </si>
  <si>
    <t>── 2. PRICE IN ANNUAL RANGE ──</t>
  </si>
  <si>
    <t>52-Week Low (USD)
→ stockanalysis.com/etf/voo → "52-Week Range"</t>
  </si>
  <si>
    <t>Buying near this price = attractive zone for the year</t>
  </si>
  <si>
    <t>🟢 Low zone</t>
  </si>
  <si>
    <t>52-Week High (USD)
→ stockanalysis.com/etf/voo → "52-Week Range"</t>
  </si>
  <si>
    <t>Avoid buying near this price — paying the annual high</t>
  </si>
  <si>
    <t>🔴 High zone</t>
  </si>
  <si>
    <t>% Position in annual range
(0% = annual low · 100% = annual high)</t>
  </si>
  <si>
    <t>&lt; 33%  → lower third (attractive)</t>
  </si>
  <si>
    <t>&gt; 67%  → upper third (expensive)</t>
  </si>
  <si>
    <t>── 3. TARGET PRICE &amp; CONCLUSION ──</t>
  </si>
  <si>
    <t>Premium vs NAV
→ stockanalysis.com/etf/voo → compare price vs NAV</t>
  </si>
  <si>
    <t>&lt; 0.10%  (price very close to real value)</t>
  </si>
  <si>
    <t>&gt; 0.50%  (paying above real value)</t>
  </si>
  <si>
    <t>Target Entry Price (USD)
Formula: current price × (10-yr avg P/E ÷ current P/E)
= price if P/E reverted to its 10-year average</t>
  </si>
  <si>
    <t>⚠️  Not valid until you fill in the 10-yr avg P/E above (row 48). Once filled, target price calculates automatically.</t>
  </si>
  <si>
    <t>CONCLUSION</t>
  </si>
  <si>
    <t>📌 Update P/E and 52-Week range each month or quarter. stockanalysis.com/etf/voo has everything on one screen. Target price is a reference — not a guarantee of future returns.</t>
  </si>
  <si>
    <t>📖  USER GUIDE — AF_ETF Template</t>
  </si>
  <si>
    <t>STEP</t>
  </si>
  <si>
    <t>WHAT TO DO</t>
  </si>
  <si>
    <t>1. Identify the ETF</t>
  </si>
  <si>
    <t>Enter ticker, name, tracked index and issuer in Input_Data.</t>
  </si>
  <si>
    <t>2. Yahoo Finance</t>
  </si>
  <si>
    <t>Search ticker → Statistics: Expense Ratio, Beta, Yield, AUM, Volume.</t>
  </si>
  <si>
    <t>3. Issuer site</t>
  </si>
  <si>
    <t>Vanguard (vanguard.com) · iShares (ishares.com) · SPDR (ssga.com)
Official returns, 30-Day SEC Yield, and distributions.</t>
  </si>
  <si>
    <t>4. ETF.com</t>
  </si>
  <si>
    <t>etf.com → search ticker → Tracking Difference and competitor comparisons.</t>
  </si>
  <si>
    <t>5. Read Analysis</t>
  </si>
  <si>
    <t>Signals evaluate cost, performance and liquidity. For ETFs, cost beats past returns.</t>
  </si>
  <si>
    <t>6. Save</t>
  </si>
  <si>
    <t>AF_ETF_TICKER_YYYYMM.xlsx  e.g.: AF_ETF_VOO_202608.xlsx</t>
  </si>
  <si>
    <t>WHAT MATTERS MOST IN AN ETF</t>
  </si>
  <si>
    <t>Expense Ratio</t>
  </si>
  <si>
    <t>As low as possible. VOO charges 0.03% — a benchmark of excellence.</t>
  </si>
  <si>
    <t>Tracking Difference</t>
  </si>
  <si>
    <t>How faithfully it replicates the index. Lower = better.</t>
  </si>
  <si>
    <t>AUM</t>
  </si>
  <si>
    <t>Larger funds are more liquid and harder to close.</t>
  </si>
  <si>
    <t>Performance</t>
  </si>
  <si>
    <t>Always compare vs the benchmark, never in isolation.</t>
  </si>
  <si>
    <t>Diversification</t>
  </si>
  <si>
    <t>How many holdings? Is it concentrated in a few companies?</t>
  </si>
  <si>
    <t>YOUR CURRENT ETFs</t>
  </si>
  <si>
    <t>TICKER → INDEX / SECTOR</t>
  </si>
  <si>
    <t>VOO</t>
  </si>
  <si>
    <t>S&amp;P 500 (broad US market) — Vanguard</t>
  </si>
  <si>
    <t>XLE</t>
  </si>
  <si>
    <t>Energy Select Sector — SPDR</t>
  </si>
  <si>
    <t>XLI</t>
  </si>
  <si>
    <t>Industrials Select Sector — SPDR</t>
  </si>
  <si>
    <t>EWL</t>
  </si>
  <si>
    <t>Switzerland — iShares (MSCI Switzerland)</t>
  </si>
  <si>
    <t>EWQ</t>
  </si>
  <si>
    <t>France — iShares (MSCI France)</t>
  </si>
  <si>
    <t>EWU</t>
  </si>
  <si>
    <t>United Kingdom — iShares (MSCI UK)</t>
  </si>
  <si>
    <t>INDA</t>
  </si>
  <si>
    <t>India — iShares (MSCI India)</t>
  </si>
  <si>
    <t>MCHI</t>
  </si>
  <si>
    <t>China — iShares (MSCI China)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</si>
</sst>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%"/>
    <numFmt numFmtId="165" formatCode="#,##0.0000"/>
    <numFmt numFmtId="166" formatCode="#,##0.####"/>
    <numFmt numFmtId="167" formatCode="0.0&quot; años&quot;"/>
    <numFmt numFmtId="168" formatCode="\$#,##0.00"/>
    <numFmt numFmtId="169" formatCode="0.00\x"/>
    <numFmt numFmtId="170" formatCode="\+0.0%;\-0.0%;0.0%"/>
  </numFmts>
  <fonts count="3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sz val="9"/>
      <color rgb="FF0000AA"/>
      <name val="Arial"/>
      <charset val="1"/>
    </font>
    <font>
      <i/>
      <sz val="8"/>
      <color rgb="FF555555"/>
      <name val="Arial"/>
      <charset val="1"/>
    </font>
    <font>
      <i/>
      <sz val="8"/>
      <color rgb="FF1B5E20"/>
      <name val="Arial"/>
      <charset val="1"/>
    </font>
    <font>
      <b/>
      <sz val="9"/>
      <color rgb="FF333333"/>
      <name val="Arial"/>
      <charset val="1"/>
    </font>
    <font>
      <sz val="9"/>
      <name val="Arial"/>
      <charset val="1"/>
    </font>
    <font>
      <i/>
      <sz val="9"/>
      <color rgb="FF999999"/>
      <name val="Arial"/>
      <charset val="1"/>
    </font>
    <font>
      <sz val="10"/>
      <color rgb="FF0000AA"/>
      <name val="Arial"/>
      <charset val="1"/>
    </font>
    <font>
      <sz val="10"/>
      <color rgb="FF0D47A1"/>
      <name val="Arial"/>
      <charset val="1"/>
    </font>
    <font>
      <b/>
      <sz val="9"/>
      <color rgb="FF1A1A2E"/>
      <name val="Arial"/>
      <charset val="1"/>
    </font>
    <font>
      <sz val="9"/>
      <color rgb="FF1B5E20"/>
      <name val="Arial"/>
      <charset val="1"/>
    </font>
    <font>
      <b/>
      <sz val="10"/>
      <color rgb="FF1B5E20"/>
      <name val="Arial"/>
      <charset val="1"/>
    </font>
    <font>
      <b/>
      <sz val="10"/>
      <color rgb="FF1A1A2E"/>
      <name val="Arial"/>
      <charset val="1"/>
    </font>
    <font>
      <sz val="9"/>
      <color rgb="FFE65100"/>
      <name val="Arial"/>
      <charset val="1"/>
    </font>
    <font>
      <b/>
      <sz val="10"/>
      <color rgb="FFE65100"/>
      <name val="Arial"/>
      <charset val="1"/>
    </font>
    <font>
      <sz val="9"/>
      <color rgb="FF616161"/>
      <name val="Arial"/>
      <charset val="1"/>
    </font>
    <font>
      <b/>
      <sz val="10"/>
      <color rgb="FF616161"/>
      <name val="Arial"/>
      <charset val="1"/>
    </font>
    <font>
      <sz val="9"/>
      <color rgb="FF0D47A1"/>
      <name val="Arial"/>
      <charset val="1"/>
    </font>
    <font>
      <i/>
      <sz val="8"/>
      <color rgb="FF333333"/>
      <name val="Arial"/>
      <charset val="1"/>
    </font>
    <font>
      <b/>
      <sz val="10"/>
      <color rgb="FF283593"/>
      <name val="Arial"/>
      <charset val="1"/>
    </font>
    <font>
      <sz val="8"/>
      <color rgb="FFFFFFFF"/>
      <name val="Arial"/>
      <charset val="1"/>
    </font>
    <font>
      <sz val="8"/>
      <color rgb="FF1B5E20"/>
      <name val="Arial"/>
      <charset val="1"/>
    </font>
    <font>
      <sz val="8"/>
      <color rgb="FFB71C1C"/>
      <name val="Arial"/>
      <charset val="1"/>
    </font>
    <font>
      <b/>
      <sz val="9"/>
      <name val="Arial"/>
      <charset val="1"/>
    </font>
    <font>
      <i/>
      <sz val="8"/>
      <color rgb="FF0D47A1"/>
      <name val="Arial"/>
      <charset val="1"/>
    </font>
    <font>
      <b/>
      <sz val="10"/>
      <color rgb="FF0D47A1"/>
      <name val="Arial"/>
      <charset val="1"/>
    </font>
    <font>
      <b/>
      <sz val="9"/>
      <color rgb="FF1B5E20"/>
      <name val="Arial"/>
      <charset val="1"/>
    </font>
    <font>
      <b/>
      <sz val="9"/>
      <color rgb="FFB71C1C"/>
      <name val="Arial"/>
      <charset val="1"/>
    </font>
    <font>
      <b/>
      <sz val="11"/>
      <color rgb="FF0D47A1"/>
      <name val="Arial"/>
      <charset val="1"/>
    </font>
    <font>
      <i/>
      <sz val="8"/>
      <color rgb="FFB71C1C"/>
      <name val="Arial"/>
      <charset val="1"/>
    </font>
    <font>
      <b/>
      <sz val="10"/>
      <name val="Arial"/>
      <charset val="1"/>
    </font>
    <font>
      <sz val="9"/>
      <color rgb="FF333333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FFFFF"/>
        <bgColor rgb="FFF5F5F5"/>
      </patternFill>
    </fill>
    <fill>
      <patternFill patternType="solid">
        <fgColor rgb="FFFFD166"/>
        <bgColor rgb="FFFFCC00"/>
      </patternFill>
    </fill>
    <fill>
      <patternFill patternType="solid">
        <fgColor rgb="FFF0F4F8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E8F5E9"/>
        <bgColor rgb="FFF0F4F8"/>
      </patternFill>
    </fill>
    <fill>
      <patternFill patternType="solid">
        <fgColor rgb="FFE3F2FD"/>
        <bgColor rgb="FFE8EAF6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F0F4F8"/>
      </patternFill>
    </fill>
    <fill>
      <patternFill patternType="solid">
        <fgColor rgb="FFE8EAF6"/>
        <bgColor rgb="FFE3F2FD"/>
      </patternFill>
    </fill>
    <fill>
      <patternFill patternType="solid">
        <fgColor rgb="FFFFCDD2"/>
        <bgColor rgb="FFCCCCCC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F3460"/>
      </bottom>
      <diagonal/>
    </border>
    <border>
      <left style="medium">
        <color rgb="FF0F3460"/>
      </left>
      <right style="medium">
        <color rgb="FF0F3460"/>
      </right>
      <top style="medium">
        <color rgb="FF0F3460"/>
      </top>
      <bottom style="medium">
        <color rgb="FF0F3460"/>
      </bottom>
      <diagonal/>
    </border>
    <border>
      <left/>
      <right/>
      <top style="thin">
        <color rgb="FFCCCCCC"/>
      </top>
      <bottom style="medium">
        <color rgb="FF0F3460"/>
      </bottom>
      <diagonal/>
    </border>
    <border>
      <left style="thin">
        <color rgb="FFCCCCCC"/>
      </left>
      <right/>
      <top style="medium">
        <color rgb="FF0F3460"/>
      </top>
      <bottom/>
      <diagonal/>
    </border>
    <border>
      <left style="thin">
        <color rgb="FFCCCCCC"/>
      </left>
      <right/>
      <top/>
      <bottom/>
      <diagonal/>
    </border>
    <border>
      <left style="medium">
        <color rgb="FF0F3460"/>
      </left>
      <right/>
      <top/>
      <bottom/>
      <diagonal/>
    </border>
    <border>
      <left style="thin">
        <color rgb="FFCCCCCC"/>
      </left>
      <right/>
      <top/>
      <bottom style="medium">
        <color rgb="FF0F3460"/>
      </bottom>
      <diagonal/>
    </border>
    <border>
      <left style="thin">
        <color rgb="FFCCCCCC"/>
      </left>
      <right/>
      <top style="medium">
        <color rgb="FF0F346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F3460"/>
      </left>
      <right style="medium">
        <color rgb="FF0F3460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0" fillId="7" borderId="2" xfId="0" applyFont="1" applyFill="1" applyBorder="1" applyAlignment="1">
      <alignment horizontal="left" vertical="center" wrapText="1"/>
    </xf>
    <xf numFmtId="0" fontId="29" fillId="10" borderId="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4" fillId="13" borderId="8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49" fontId="6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center" vertical="center"/>
    </xf>
    <xf numFmtId="10" fontId="10" fillId="5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0" fontId="11" fillId="7" borderId="1" xfId="0" applyNumberFormat="1" applyFont="1" applyFill="1" applyBorder="1" applyAlignment="1">
      <alignment horizontal="center" vertical="center" wrapText="1"/>
    </xf>
    <xf numFmtId="10" fontId="11" fillId="5" borderId="1" xfId="0" applyNumberFormat="1" applyFont="1" applyFill="1" applyBorder="1" applyAlignment="1">
      <alignment horizontal="center" vertical="center" wrapText="1"/>
    </xf>
    <xf numFmtId="4" fontId="5" fillId="7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166" fontId="12" fillId="6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4" fontId="12" fillId="6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49" fontId="12" fillId="6" borderId="1" xfId="0" applyNumberFormat="1" applyFont="1" applyFill="1" applyBorder="1" applyAlignment="1">
      <alignment horizontal="center" vertical="center"/>
    </xf>
    <xf numFmtId="4" fontId="13" fillId="10" borderId="1" xfId="0" applyNumberFormat="1" applyFont="1" applyFill="1" applyBorder="1" applyAlignment="1">
      <alignment horizontal="center" vertical="center"/>
    </xf>
    <xf numFmtId="10" fontId="13" fillId="10" borderId="1" xfId="0" applyNumberFormat="1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 wrapText="1"/>
    </xf>
    <xf numFmtId="10" fontId="15" fillId="11" borderId="1" xfId="0" applyNumberFormat="1" applyFont="1" applyFill="1" applyBorder="1" applyAlignment="1">
      <alignment horizontal="center" vertical="center"/>
    </xf>
    <xf numFmtId="167" fontId="16" fillId="11" borderId="1" xfId="0" applyNumberFormat="1" applyFont="1" applyFill="1" applyBorder="1" applyAlignment="1">
      <alignment horizontal="center" vertical="center"/>
    </xf>
    <xf numFmtId="168" fontId="15" fillId="11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167" fontId="17" fillId="7" borderId="1" xfId="0" applyNumberFormat="1" applyFont="1" applyFill="1" applyBorder="1" applyAlignment="1">
      <alignment horizontal="center" vertical="center"/>
    </xf>
    <xf numFmtId="168" fontId="5" fillId="7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wrapText="1"/>
    </xf>
    <xf numFmtId="10" fontId="18" fillId="8" borderId="1" xfId="0" applyNumberFormat="1" applyFont="1" applyFill="1" applyBorder="1" applyAlignment="1">
      <alignment horizontal="center" vertical="center"/>
    </xf>
    <xf numFmtId="167" fontId="19" fillId="8" borderId="1" xfId="0" applyNumberFormat="1" applyFont="1" applyFill="1" applyBorder="1" applyAlignment="1">
      <alignment horizontal="center" vertical="center"/>
    </xf>
    <xf numFmtId="168" fontId="18" fillId="8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 wrapText="1"/>
    </xf>
    <xf numFmtId="10" fontId="20" fillId="12" borderId="1" xfId="0" applyNumberFormat="1" applyFont="1" applyFill="1" applyBorder="1" applyAlignment="1">
      <alignment horizontal="center" vertical="center"/>
    </xf>
    <xf numFmtId="167" fontId="21" fillId="12" borderId="1" xfId="0" applyNumberFormat="1" applyFont="1" applyFill="1" applyBorder="1" applyAlignment="1">
      <alignment horizontal="center" vertical="center"/>
    </xf>
    <xf numFmtId="168" fontId="20" fillId="12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" fontId="11" fillId="7" borderId="1" xfId="0" applyNumberFormat="1" applyFont="1" applyFill="1" applyBorder="1" applyAlignment="1">
      <alignment horizontal="center" vertical="center" wrapText="1"/>
    </xf>
    <xf numFmtId="168" fontId="13" fillId="10" borderId="1" xfId="0" applyNumberFormat="1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49" fontId="22" fillId="10" borderId="1" xfId="0" applyNumberFormat="1" applyFont="1" applyFill="1" applyBorder="1" applyAlignment="1">
      <alignment horizontal="center" vertical="center" wrapText="1"/>
    </xf>
    <xf numFmtId="169" fontId="12" fillId="6" borderId="1" xfId="0" applyNumberFormat="1" applyFont="1" applyFill="1" applyBorder="1" applyAlignment="1">
      <alignment horizontal="center" vertical="center" wrapText="1"/>
    </xf>
    <xf numFmtId="168" fontId="12" fillId="6" borderId="1" xfId="0" applyNumberFormat="1" applyFont="1" applyFill="1" applyBorder="1" applyAlignment="1">
      <alignment horizontal="center" vertical="center" wrapText="1"/>
    </xf>
    <xf numFmtId="164" fontId="13" fillId="10" borderId="1" xfId="0" applyNumberFormat="1" applyFont="1" applyFill="1" applyBorder="1" applyAlignment="1">
      <alignment horizontal="center" vertical="center" wrapText="1"/>
    </xf>
    <xf numFmtId="169" fontId="3" fillId="3" borderId="4" xfId="0" applyNumberFormat="1" applyFont="1" applyFill="1" applyBorder="1" applyAlignment="1">
      <alignment horizontal="center" vertical="center" wrapText="1"/>
    </xf>
    <xf numFmtId="169" fontId="12" fillId="6" borderId="1" xfId="0" applyNumberFormat="1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left" vertical="center" wrapText="1"/>
    </xf>
    <xf numFmtId="0" fontId="27" fillId="14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 wrapText="1"/>
    </xf>
    <xf numFmtId="170" fontId="30" fillId="10" borderId="1" xfId="0" applyNumberFormat="1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168" fontId="12" fillId="6" borderId="1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9" fontId="13" fillId="10" borderId="1" xfId="0" applyNumberFormat="1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168" fontId="33" fillId="1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left" vertical="center" wrapText="1"/>
    </xf>
    <xf numFmtId="0" fontId="36" fillId="7" borderId="1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6" fillId="11" borderId="12" xfId="0" applyFont="1" applyFill="1" applyBorder="1" applyAlignment="1">
      <alignment horizontal="center" vertical="center" wrapText="1"/>
    </xf>
    <xf numFmtId="0" fontId="27" fillId="14" borderId="1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4" fillId="14" borderId="14" xfId="0" applyFont="1" applyFill="1" applyBorder="1" applyAlignment="1">
      <alignment horizontal="center" vertical="center" wrapText="1"/>
    </xf>
    <xf numFmtId="0" fontId="35" fillId="8" borderId="15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616161"/>
        <name val="Arial"/>
        <charset val="1"/>
      </font>
      <fill>
        <patternFill>
          <bgColor rgb="FFF5F5F5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616161"/>
        <name val="Arial"/>
        <charset val="1"/>
      </font>
      <fill>
        <patternFill>
          <bgColor rgb="FFF5F5F5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</dxfs>
  <tableStyles count="1" defaultTableStyle="TableStyleMedium2" defaultPivotStyle="PivotStyleLight16">
    <tableStyle name="Invisible" pivot="0" table="0" count="0" xr9:uid="{D7B3DB3D-E67F-4BA2-B108-3589DABA4DD5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AA"/>
      <rgbColor rgb="FF808000"/>
      <rgbColor rgb="FF800080"/>
      <rgbColor rgb="FF008080"/>
      <rgbColor rgb="FFCCCCCC"/>
      <rgbColor rgb="FF555555"/>
      <rgbColor rgb="FF9999FF"/>
      <rgbColor rgb="FF993366"/>
      <rgbColor rgb="FFFFF9C4"/>
      <rgbColor rgb="FFE3F2FD"/>
      <rgbColor rgb="FF660066"/>
      <rgbColor rgb="FFFF8080"/>
      <rgbColor rgb="FF0D47A1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F5F5"/>
      <rgbColor rgb="FFF0F4F8"/>
      <rgbColor rgb="FFFFCDD2"/>
      <rgbColor rgb="FFCC99FF"/>
      <rgbColor rgb="FFFFD166"/>
      <rgbColor rgb="FF3366FF"/>
      <rgbColor rgb="FF33CCCC"/>
      <rgbColor rgb="FF99CC00"/>
      <rgbColor rgb="FFFFCC00"/>
      <rgbColor rgb="FFFF9900"/>
      <rgbColor rgb="FFE65100"/>
      <rgbColor rgb="FF616161"/>
      <rgbColor rgb="FF999999"/>
      <rgbColor rgb="FF0F3460"/>
      <rgbColor rgb="FF339966"/>
      <rgbColor rgb="FF16213E"/>
      <rgbColor rgb="FF1A1A2E"/>
      <rgbColor rgb="FFB71C1C"/>
      <rgbColor rgb="FF993366"/>
      <rgbColor rgb="FF2835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10" sqref="A10"/>
      <selection pane="bottomRight" activeCell="B5" sqref="B5"/>
    </sheetView>
  </sheetViews>
  <sheetFormatPr defaultColWidth="8.6328125" defaultRowHeight="14.5" x14ac:dyDescent="0.35"/>
  <cols>
    <col min="1" max="1" width="44" customWidth="1"/>
    <col min="2" max="3" width="28" customWidth="1"/>
  </cols>
  <sheetData>
    <row r="1" spans="1:3" ht="33.75" customHeight="1" x14ac:dyDescent="0.35">
      <c r="A1" s="14" t="s">
        <v>0</v>
      </c>
      <c r="B1" s="14"/>
      <c r="C1" s="14"/>
    </row>
    <row r="2" spans="1:3" ht="18" customHeight="1" x14ac:dyDescent="0.35">
      <c r="A2" s="97" t="s">
        <v>1</v>
      </c>
      <c r="B2" s="97"/>
      <c r="C2" s="97"/>
    </row>
    <row r="3" spans="1:3" ht="25.5" customHeight="1" x14ac:dyDescent="0.35">
      <c r="A3" s="15" t="s">
        <v>2</v>
      </c>
      <c r="B3" s="15" t="s">
        <v>3</v>
      </c>
      <c r="C3" s="15" t="s">
        <v>4</v>
      </c>
    </row>
    <row r="4" spans="1:3" ht="30" customHeight="1" x14ac:dyDescent="0.35">
      <c r="A4" s="98" t="s">
        <v>5</v>
      </c>
      <c r="B4" s="98"/>
      <c r="C4" s="98"/>
    </row>
    <row r="5" spans="1:3" ht="27.75" customHeight="1" x14ac:dyDescent="0.35">
      <c r="A5" s="16" t="s">
        <v>6</v>
      </c>
      <c r="B5" s="17"/>
      <c r="C5" s="17"/>
    </row>
    <row r="6" spans="1:3" ht="27.75" customHeight="1" x14ac:dyDescent="0.35">
      <c r="A6" s="18" t="s">
        <v>7</v>
      </c>
      <c r="B6" s="17"/>
      <c r="C6" s="17"/>
    </row>
    <row r="7" spans="1:3" ht="27.75" customHeight="1" x14ac:dyDescent="0.35">
      <c r="A7" s="16" t="s">
        <v>8</v>
      </c>
      <c r="B7" s="17"/>
      <c r="C7" s="17"/>
    </row>
    <row r="8" spans="1:3" ht="27.75" customHeight="1" x14ac:dyDescent="0.35">
      <c r="A8" s="18" t="s">
        <v>9</v>
      </c>
      <c r="B8" s="17"/>
      <c r="C8" s="17"/>
    </row>
    <row r="9" spans="1:3" ht="27.75" customHeight="1" x14ac:dyDescent="0.35">
      <c r="A9" s="16" t="s">
        <v>10</v>
      </c>
      <c r="B9" s="17"/>
      <c r="C9" s="17"/>
    </row>
    <row r="10" spans="1:3" ht="27.75" customHeight="1" x14ac:dyDescent="0.35">
      <c r="A10" s="18" t="s">
        <v>11</v>
      </c>
      <c r="B10" s="17"/>
      <c r="C10" s="17"/>
    </row>
    <row r="11" spans="1:3" ht="27.75" customHeight="1" x14ac:dyDescent="0.35">
      <c r="A11" s="16" t="s">
        <v>12</v>
      </c>
      <c r="B11" s="17"/>
      <c r="C11" s="17"/>
    </row>
    <row r="12" spans="1:3" ht="27.75" customHeight="1" x14ac:dyDescent="0.35">
      <c r="A12" s="18" t="s">
        <v>13</v>
      </c>
      <c r="B12" s="17"/>
      <c r="C12" s="17"/>
    </row>
    <row r="13" spans="1:3" ht="30" customHeight="1" x14ac:dyDescent="0.35">
      <c r="A13" s="98" t="s">
        <v>14</v>
      </c>
      <c r="B13" s="98"/>
      <c r="C13" s="98"/>
    </row>
    <row r="14" spans="1:3" ht="27.75" customHeight="1" x14ac:dyDescent="0.35">
      <c r="A14" s="18" t="s">
        <v>15</v>
      </c>
      <c r="B14" s="19"/>
      <c r="C14" s="19"/>
    </row>
    <row r="15" spans="1:3" ht="27.75" customHeight="1" x14ac:dyDescent="0.35">
      <c r="A15" s="16" t="s">
        <v>16</v>
      </c>
      <c r="B15" s="20"/>
      <c r="C15" s="20"/>
    </row>
    <row r="16" spans="1:3" ht="27.75" customHeight="1" x14ac:dyDescent="0.35">
      <c r="A16" s="18" t="s">
        <v>17</v>
      </c>
      <c r="B16" s="21"/>
      <c r="C16" s="21"/>
    </row>
    <row r="17" spans="1:3" ht="27.75" customHeight="1" x14ac:dyDescent="0.35">
      <c r="A17" s="16" t="s">
        <v>18</v>
      </c>
      <c r="B17" s="19"/>
      <c r="C17" s="19"/>
    </row>
    <row r="18" spans="1:3" ht="27.75" customHeight="1" x14ac:dyDescent="0.35">
      <c r="A18" s="18" t="s">
        <v>19</v>
      </c>
      <c r="B18" s="21"/>
      <c r="C18" s="21"/>
    </row>
    <row r="19" spans="1:3" ht="30" customHeight="1" x14ac:dyDescent="0.35">
      <c r="A19" s="98" t="s">
        <v>20</v>
      </c>
      <c r="B19" s="98"/>
      <c r="C19" s="98"/>
    </row>
    <row r="20" spans="1:3" ht="27.75" customHeight="1" x14ac:dyDescent="0.35">
      <c r="A20" s="18" t="s">
        <v>21</v>
      </c>
      <c r="B20" s="22"/>
      <c r="C20" s="22"/>
    </row>
    <row r="21" spans="1:3" ht="27.75" customHeight="1" x14ac:dyDescent="0.35">
      <c r="A21" s="16" t="s">
        <v>22</v>
      </c>
      <c r="B21" s="22"/>
      <c r="C21" s="22"/>
    </row>
    <row r="22" spans="1:3" ht="27.75" customHeight="1" x14ac:dyDescent="0.35">
      <c r="A22" s="18" t="s">
        <v>23</v>
      </c>
      <c r="B22" s="22"/>
      <c r="C22" s="22"/>
    </row>
    <row r="23" spans="1:3" ht="27.75" customHeight="1" x14ac:dyDescent="0.35">
      <c r="A23" s="16" t="s">
        <v>24</v>
      </c>
      <c r="B23" s="22"/>
      <c r="C23" s="22"/>
    </row>
    <row r="24" spans="1:3" ht="27.75" customHeight="1" x14ac:dyDescent="0.35">
      <c r="A24" s="18" t="s">
        <v>25</v>
      </c>
      <c r="B24" s="22"/>
      <c r="C24" s="22"/>
    </row>
    <row r="25" spans="1:3" ht="27.75" customHeight="1" x14ac:dyDescent="0.35">
      <c r="A25" s="16" t="s">
        <v>26</v>
      </c>
      <c r="B25" s="22"/>
      <c r="C25" s="22"/>
    </row>
    <row r="26" spans="1:3" ht="27.75" customHeight="1" x14ac:dyDescent="0.35">
      <c r="A26" s="18" t="s">
        <v>27</v>
      </c>
      <c r="B26" s="22"/>
      <c r="C26" s="22"/>
    </row>
    <row r="27" spans="1:3" ht="27.75" customHeight="1" x14ac:dyDescent="0.35">
      <c r="A27" s="16" t="s">
        <v>28</v>
      </c>
      <c r="B27" s="23"/>
      <c r="C27" s="23"/>
    </row>
    <row r="28" spans="1:3" ht="30" customHeight="1" x14ac:dyDescent="0.35">
      <c r="A28" s="98" t="s">
        <v>29</v>
      </c>
      <c r="B28" s="98"/>
      <c r="C28" s="98"/>
    </row>
    <row r="29" spans="1:3" ht="27.75" customHeight="1" x14ac:dyDescent="0.35">
      <c r="A29" s="16" t="s">
        <v>30</v>
      </c>
      <c r="B29" s="22"/>
      <c r="C29" s="22"/>
    </row>
    <row r="30" spans="1:3" ht="27.75" customHeight="1" x14ac:dyDescent="0.35">
      <c r="A30" s="18" t="s">
        <v>31</v>
      </c>
      <c r="B30" s="17"/>
      <c r="C30" s="17"/>
    </row>
    <row r="31" spans="1:3" ht="27.75" customHeight="1" x14ac:dyDescent="0.35">
      <c r="A31" s="16" t="s">
        <v>32</v>
      </c>
      <c r="B31" s="24"/>
      <c r="C31" s="24"/>
    </row>
    <row r="32" spans="1:3" ht="27.75" customHeight="1" x14ac:dyDescent="0.35">
      <c r="A32" s="18" t="s">
        <v>33</v>
      </c>
      <c r="B32" s="22"/>
      <c r="C32" s="22"/>
    </row>
    <row r="33" spans="1:3" ht="30" customHeight="1" x14ac:dyDescent="0.35">
      <c r="A33" s="98" t="s">
        <v>34</v>
      </c>
      <c r="B33" s="98"/>
      <c r="C33" s="98"/>
    </row>
    <row r="34" spans="1:3" ht="25.5" customHeight="1" x14ac:dyDescent="0.35">
      <c r="A34" s="25" t="s">
        <v>35</v>
      </c>
      <c r="B34" s="25" t="s">
        <v>36</v>
      </c>
      <c r="C34" s="25" t="s">
        <v>37</v>
      </c>
    </row>
    <row r="35" spans="1:3" ht="19.5" customHeight="1" x14ac:dyDescent="0.35">
      <c r="A35" s="26" t="s">
        <v>38</v>
      </c>
      <c r="B35" s="17"/>
      <c r="C35" s="22"/>
    </row>
    <row r="36" spans="1:3" ht="19.5" customHeight="1" x14ac:dyDescent="0.35">
      <c r="A36" s="27" t="s">
        <v>39</v>
      </c>
      <c r="B36" s="17"/>
      <c r="C36" s="22"/>
    </row>
    <row r="37" spans="1:3" ht="19.5" customHeight="1" x14ac:dyDescent="0.35">
      <c r="A37" s="26" t="s">
        <v>40</v>
      </c>
      <c r="B37" s="17"/>
      <c r="C37" s="22"/>
    </row>
    <row r="38" spans="1:3" ht="19.5" customHeight="1" x14ac:dyDescent="0.35">
      <c r="A38" s="27" t="s">
        <v>41</v>
      </c>
      <c r="B38" s="17"/>
      <c r="C38" s="22"/>
    </row>
    <row r="39" spans="1:3" ht="19.5" customHeight="1" x14ac:dyDescent="0.35">
      <c r="A39" s="26" t="s">
        <v>42</v>
      </c>
      <c r="B39" s="17"/>
      <c r="C39" s="22"/>
    </row>
    <row r="40" spans="1:3" ht="19.5" customHeight="1" x14ac:dyDescent="0.35">
      <c r="A40" s="27" t="s">
        <v>43</v>
      </c>
      <c r="B40" s="17"/>
      <c r="C40" s="22"/>
    </row>
    <row r="41" spans="1:3" ht="19.5" customHeight="1" x14ac:dyDescent="0.35">
      <c r="A41" s="26" t="s">
        <v>44</v>
      </c>
      <c r="B41" s="17"/>
      <c r="C41" s="22"/>
    </row>
    <row r="42" spans="1:3" ht="19.5" customHeight="1" x14ac:dyDescent="0.35">
      <c r="A42" s="27" t="s">
        <v>45</v>
      </c>
      <c r="B42" s="17"/>
      <c r="C42" s="22"/>
    </row>
    <row r="43" spans="1:3" ht="19.5" customHeight="1" x14ac:dyDescent="0.35">
      <c r="A43" s="26" t="s">
        <v>46</v>
      </c>
      <c r="B43" s="17"/>
      <c r="C43" s="22"/>
    </row>
    <row r="44" spans="1:3" ht="19.5" customHeight="1" x14ac:dyDescent="0.35">
      <c r="A44" s="27" t="s">
        <v>47</v>
      </c>
      <c r="B44" s="17"/>
      <c r="C44" s="22"/>
    </row>
    <row r="46" spans="1:3" ht="18" customHeight="1" x14ac:dyDescent="0.35">
      <c r="A46" s="99" t="s">
        <v>48</v>
      </c>
      <c r="B46" s="99"/>
      <c r="C46" s="99"/>
    </row>
    <row r="47" spans="1:3" ht="18" customHeight="1" x14ac:dyDescent="0.35">
      <c r="A47" s="100" t="s">
        <v>49</v>
      </c>
      <c r="B47" s="100"/>
      <c r="C47" s="100"/>
    </row>
    <row r="48" spans="1:3" ht="19.5" customHeight="1" x14ac:dyDescent="0.35"/>
    <row r="49" ht="14.2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9" ht="18.75" customHeight="1" x14ac:dyDescent="0.35"/>
  </sheetData>
  <mergeCells count="9">
    <mergeCell ref="A28:C28"/>
    <mergeCell ref="A33:C33"/>
    <mergeCell ref="A46:C46"/>
    <mergeCell ref="A47:C47"/>
    <mergeCell ref="A1:C1"/>
    <mergeCell ref="A2:C2"/>
    <mergeCell ref="A4:C4"/>
    <mergeCell ref="A13:C13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defaultColWidth="8.6328125" defaultRowHeight="14.5" x14ac:dyDescent="0.35"/>
  <cols>
    <col min="1" max="1" width="38" customWidth="1"/>
    <col min="2" max="3" width="18" customWidth="1"/>
    <col min="4" max="4" width="30" customWidth="1"/>
    <col min="5" max="5" width="22" customWidth="1"/>
  </cols>
  <sheetData>
    <row r="1" spans="1:5" ht="33.75" customHeight="1" x14ac:dyDescent="0.35">
      <c r="A1" s="14" t="s">
        <v>50</v>
      </c>
      <c r="B1" s="14"/>
      <c r="C1" s="14"/>
      <c r="D1" s="14"/>
      <c r="E1" s="14"/>
    </row>
    <row r="2" spans="1:5" ht="18" customHeight="1" x14ac:dyDescent="0.35">
      <c r="A2" s="97" t="s">
        <v>51</v>
      </c>
      <c r="B2" s="97"/>
      <c r="C2" s="97"/>
      <c r="D2" s="97"/>
      <c r="E2" s="97"/>
    </row>
    <row r="3" spans="1:5" ht="18" customHeight="1" x14ac:dyDescent="0.35">
      <c r="A3" s="99" t="s">
        <v>52</v>
      </c>
      <c r="B3" s="99"/>
      <c r="C3" s="99"/>
      <c r="D3" s="99"/>
      <c r="E3" s="99"/>
    </row>
    <row r="4" spans="1:5" ht="25.5" customHeight="1" x14ac:dyDescent="0.35">
      <c r="A4" s="15" t="s">
        <v>53</v>
      </c>
      <c r="B4" s="15" t="s">
        <v>3</v>
      </c>
      <c r="C4" s="15" t="s">
        <v>54</v>
      </c>
      <c r="D4" s="15" t="s">
        <v>55</v>
      </c>
      <c r="E4" s="15" t="s">
        <v>56</v>
      </c>
    </row>
    <row r="5" spans="1:5" ht="30" customHeight="1" x14ac:dyDescent="0.35">
      <c r="A5" s="98" t="s">
        <v>57</v>
      </c>
      <c r="B5" s="98"/>
      <c r="C5" s="98"/>
      <c r="D5" s="98"/>
      <c r="E5" s="98"/>
    </row>
    <row r="6" spans="1:5" ht="31.5" customHeight="1" x14ac:dyDescent="0.35">
      <c r="A6" s="18" t="s">
        <v>58</v>
      </c>
      <c r="B6" s="28">
        <f>IFERROR(Input_Data!B14,"⚪ N/A")</f>
        <v>0</v>
      </c>
      <c r="C6" s="28">
        <f>IFERROR(Input_Data!C14,"⚪ N/A")</f>
        <v>0</v>
      </c>
      <c r="D6" s="29" t="s">
        <v>59</v>
      </c>
      <c r="E6" s="30" t="str">
        <f>IFERROR(IF(Input_Data!B14&lt;0.001,"🟢 GOOD",IF(Input_Data!B14&lt;0.005,"🟡 REVIEW","🔴 ALERT")),"⚪ N/A")</f>
        <v>🟢 GOOD</v>
      </c>
    </row>
    <row r="7" spans="1:5" ht="31.5" customHeight="1" x14ac:dyDescent="0.35">
      <c r="A7" s="16" t="s">
        <v>60</v>
      </c>
      <c r="B7" s="31">
        <f>IFERROR(Input_Data!B26,"⚪ N/A")</f>
        <v>0</v>
      </c>
      <c r="C7" s="31">
        <f>IFERROR(Input_Data!C26,"⚪ N/A")</f>
        <v>0</v>
      </c>
      <c r="D7" s="32" t="s">
        <v>61</v>
      </c>
      <c r="E7" s="30" t="str">
        <f>IFERROR(IF(Input_Data!B26&lt;0.001,"🟢 GOOD",IF(Input_Data!B26&lt;0.005,"🟡 REVIEW","🔴 ALERT")),"⚪ N/A")</f>
        <v>🟢 GOOD</v>
      </c>
    </row>
    <row r="8" spans="1:5" ht="30" customHeight="1" x14ac:dyDescent="0.35">
      <c r="A8" s="98" t="s">
        <v>62</v>
      </c>
      <c r="B8" s="98"/>
      <c r="C8" s="98"/>
      <c r="D8" s="98"/>
      <c r="E8" s="98"/>
    </row>
    <row r="9" spans="1:5" ht="31.5" customHeight="1" x14ac:dyDescent="0.35">
      <c r="A9" s="16" t="s">
        <v>63</v>
      </c>
      <c r="B9" s="33">
        <f>IFERROR(Input_Data!B21,"⚪ N/A")</f>
        <v>0</v>
      </c>
      <c r="C9" s="34">
        <f>IFERROR(Input_Data!B25,"⚪ N/A")</f>
        <v>0</v>
      </c>
      <c r="D9" s="32" t="s">
        <v>64</v>
      </c>
      <c r="E9" s="30" t="str">
        <f>IFERROR(IF(Input_Data!B21&gt;Input_Data!C21,"🟢 BEATS",IF(Input_Data!B21&gt;Input_Data!C21*0.98,"🟡 IN LINE","🔴 LAGS")),"⚪ N/A")</f>
        <v>🔴 LAGS</v>
      </c>
    </row>
    <row r="10" spans="1:5" ht="31.5" customHeight="1" x14ac:dyDescent="0.35">
      <c r="A10" s="18" t="s">
        <v>65</v>
      </c>
      <c r="B10" s="35">
        <f>IFERROR(Input_Data!B22,"⚪ N/A")</f>
        <v>0</v>
      </c>
      <c r="C10" s="36" t="s">
        <v>66</v>
      </c>
      <c r="D10" s="29" t="s">
        <v>67</v>
      </c>
      <c r="E10" s="30" t="str">
        <f>IFERROR(IF(Input_Data!B22&gt;0.1,"🟢 GOOD",IF(Input_Data!B22&gt;0.05,"🟡 REVIEW","🔴 ALERT")),"⚪ N/A")</f>
        <v>🔴 ALERT</v>
      </c>
    </row>
    <row r="11" spans="1:5" ht="31.5" customHeight="1" x14ac:dyDescent="0.35">
      <c r="A11" s="16" t="s">
        <v>68</v>
      </c>
      <c r="B11" s="33">
        <f>IFERROR(Input_Data!B23,"⚪ N/A")</f>
        <v>0</v>
      </c>
      <c r="C11" s="37" t="s">
        <v>69</v>
      </c>
      <c r="D11" s="32" t="s">
        <v>70</v>
      </c>
      <c r="E11" s="30" t="str">
        <f>IFERROR(IF(Input_Data!B23&gt;0.1,"🟢 GOOD",IF(Input_Data!B23&gt;0.06,"🟡 REVIEW","🔴 ALERT")),"⚪ N/A")</f>
        <v>🔴 ALERT</v>
      </c>
    </row>
    <row r="12" spans="1:5" ht="30" customHeight="1" x14ac:dyDescent="0.35">
      <c r="A12" s="98" t="s">
        <v>71</v>
      </c>
      <c r="B12" s="98"/>
      <c r="C12" s="98"/>
      <c r="D12" s="98"/>
      <c r="E12" s="98"/>
    </row>
    <row r="13" spans="1:5" ht="31.5" customHeight="1" x14ac:dyDescent="0.35">
      <c r="A13" s="16" t="s">
        <v>72</v>
      </c>
      <c r="B13" s="33">
        <f>IFERROR(Input_Data!B29,"⚪ N/A")</f>
        <v>0</v>
      </c>
      <c r="C13" s="33">
        <f>IFERROR(Input_Data!C29,"⚪ N/A")</f>
        <v>0</v>
      </c>
      <c r="D13" s="32" t="s">
        <v>73</v>
      </c>
      <c r="E13" s="30" t="str">
        <f>IFERROR(IF(Input_Data!B29&gt;0.02,"🟢 GOOD",IF(Input_Data!B29&gt;0,"🟡 REVIEW","⚪ SIN DIV")),"⚪ N/A")</f>
        <v>⚪ SIN DIV</v>
      </c>
    </row>
    <row r="14" spans="1:5" ht="31.5" customHeight="1" x14ac:dyDescent="0.35">
      <c r="A14" s="18" t="s">
        <v>74</v>
      </c>
      <c r="B14" s="38">
        <f>IFERROR(Input_Data!B15,"⚪ N/A")</f>
        <v>0</v>
      </c>
      <c r="C14" s="38">
        <f>IFERROR(Input_Data!C15,"⚪ N/A")</f>
        <v>0</v>
      </c>
      <c r="D14" s="29" t="s">
        <v>75</v>
      </c>
      <c r="E14" s="30" t="str">
        <f>IFERROR(IF(Input_Data!B15&gt;1,"🟢 GOOD",IF(Input_Data!B15&gt;0.1,"🟡 REVIEW","🔴 ALERT")),"⚪ N/A")</f>
        <v>🔴 ALERT</v>
      </c>
    </row>
    <row r="15" spans="1:5" ht="31.5" customHeight="1" x14ac:dyDescent="0.35">
      <c r="A15" s="16" t="s">
        <v>76</v>
      </c>
      <c r="B15" s="39">
        <f>IFERROR(Input_Data!B27,"⚪ N/A")</f>
        <v>0</v>
      </c>
      <c r="C15" s="39">
        <f>IFERROR(Input_Data!C27,"⚪ N/A")</f>
        <v>0</v>
      </c>
      <c r="D15" s="32" t="s">
        <v>77</v>
      </c>
      <c r="E15" s="30" t="str">
        <f>IFERROR(IF(Input_Data!B27&lt;1.2,"🟡 NORMAL","🟡 REVIEW"),"⚪ N/A")</f>
        <v>🟡 NORMAL</v>
      </c>
    </row>
    <row r="17" spans="1:5" ht="18" customHeight="1" x14ac:dyDescent="0.35">
      <c r="A17" s="99" t="s">
        <v>78</v>
      </c>
      <c r="B17" s="99"/>
      <c r="C17" s="99"/>
      <c r="D17" s="99"/>
      <c r="E17" s="99"/>
    </row>
  </sheetData>
  <mergeCells count="7">
    <mergeCell ref="A12:E12"/>
    <mergeCell ref="A17:E17"/>
    <mergeCell ref="A1:E1"/>
    <mergeCell ref="A2:E2"/>
    <mergeCell ref="A3:E3"/>
    <mergeCell ref="A5:E5"/>
    <mergeCell ref="A8:E8"/>
  </mergeCells>
  <conditionalFormatting sqref="E6:E16">
    <cfRule type="expression" dxfId="16" priority="2">
      <formula>OR(NOT(ISERROR(SEARCH("GOOD",E6))),NOT(ISERROR(SEARCH("BEATS",E6))))</formula>
    </cfRule>
    <cfRule type="expression" dxfId="15" priority="3">
      <formula>OR(NOT(ISERROR(SEARCH("REVIEW",E6))),NOT(ISERROR(SEARCH("IN LINE",E6))),NOT(ISERROR(SEARCH("NORMAL",E6))))</formula>
    </cfRule>
    <cfRule type="expression" dxfId="14" priority="4">
      <formula>OR(NOT(ISERROR(SEARCH("ALERT",E6))),NOT(ISERROR(SEARCH("LAGS",E6))))</formula>
    </cfRule>
    <cfRule type="expression" dxfId="13" priority="5">
      <formula>OR(NOT(ISERROR(SEARCH("N/A",E6))),NOT(ISERROR(SEARCH("NO DIV",E6))))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"/>
  <sheetViews>
    <sheetView zoomScaleNormal="100" workbookViewId="0">
      <pane ySplit="3" topLeftCell="A4" activePane="bottomLeft" state="frozen"/>
      <selection pane="bottomLeft" activeCell="B49" sqref="B49"/>
    </sheetView>
  </sheetViews>
  <sheetFormatPr defaultColWidth="8.6328125" defaultRowHeight="14.5" x14ac:dyDescent="0.35"/>
  <cols>
    <col min="1" max="1" width="36" customWidth="1"/>
    <col min="2" max="2" width="18" customWidth="1"/>
    <col min="3" max="3" width="20" customWidth="1"/>
    <col min="4" max="4" width="18" customWidth="1"/>
    <col min="5" max="5" width="25.453125" customWidth="1"/>
  </cols>
  <sheetData>
    <row r="1" spans="1:5" ht="33.75" customHeight="1" x14ac:dyDescent="0.35">
      <c r="A1" s="14" t="s">
        <v>79</v>
      </c>
      <c r="B1" s="14"/>
      <c r="C1" s="14"/>
      <c r="D1" s="14"/>
      <c r="E1" s="14"/>
    </row>
    <row r="2" spans="1:5" ht="18" customHeight="1" x14ac:dyDescent="0.35">
      <c r="A2" s="13" t="s">
        <v>80</v>
      </c>
      <c r="B2" s="13"/>
      <c r="C2" s="13"/>
      <c r="D2" s="13"/>
      <c r="E2" s="13"/>
    </row>
    <row r="3" spans="1:5" ht="24" customHeight="1" x14ac:dyDescent="0.35">
      <c r="A3" s="12" t="s">
        <v>81</v>
      </c>
      <c r="B3" s="12"/>
      <c r="C3" s="12"/>
      <c r="D3" s="12"/>
      <c r="E3" s="12"/>
    </row>
    <row r="4" spans="1:5" ht="34.5" x14ac:dyDescent="0.35">
      <c r="A4" s="40" t="s">
        <v>2</v>
      </c>
      <c r="B4" s="40" t="s">
        <v>82</v>
      </c>
      <c r="C4" s="40" t="s">
        <v>83</v>
      </c>
      <c r="D4" s="40" t="s">
        <v>84</v>
      </c>
      <c r="E4" s="40" t="s">
        <v>85</v>
      </c>
    </row>
    <row r="5" spans="1:5" ht="21.75" customHeight="1" x14ac:dyDescent="0.35">
      <c r="A5" s="16" t="s">
        <v>86</v>
      </c>
      <c r="B5" s="41"/>
      <c r="C5" s="41"/>
      <c r="D5" s="42"/>
      <c r="E5" s="42"/>
    </row>
    <row r="6" spans="1:5" ht="21.75" customHeight="1" x14ac:dyDescent="0.35">
      <c r="A6" s="18" t="s">
        <v>87</v>
      </c>
      <c r="B6" s="43"/>
      <c r="C6" s="43"/>
      <c r="D6" s="44"/>
      <c r="E6" s="44"/>
    </row>
    <row r="7" spans="1:5" ht="21.75" customHeight="1" x14ac:dyDescent="0.35">
      <c r="A7" s="16" t="s">
        <v>88</v>
      </c>
      <c r="B7" s="45"/>
      <c r="C7" s="45"/>
      <c r="D7" s="42"/>
      <c r="E7" s="42"/>
    </row>
    <row r="8" spans="1:5" ht="21.75" customHeight="1" x14ac:dyDescent="0.35">
      <c r="A8" s="18" t="s">
        <v>89</v>
      </c>
      <c r="B8" s="43"/>
      <c r="C8" s="43"/>
      <c r="D8" s="44"/>
      <c r="E8" s="44"/>
    </row>
    <row r="9" spans="1:5" ht="21.75" customHeight="1" x14ac:dyDescent="0.35">
      <c r="A9" s="16" t="s">
        <v>90</v>
      </c>
      <c r="B9" s="45"/>
      <c r="C9" s="45"/>
      <c r="D9" s="42"/>
      <c r="E9" s="42"/>
    </row>
    <row r="10" spans="1:5" ht="24" customHeight="1" x14ac:dyDescent="0.35">
      <c r="A10" s="11" t="s">
        <v>91</v>
      </c>
      <c r="B10" s="11"/>
      <c r="C10" s="11"/>
      <c r="D10" s="11"/>
      <c r="E10" s="11"/>
    </row>
    <row r="11" spans="1:5" ht="19.5" customHeight="1" x14ac:dyDescent="0.35">
      <c r="A11" s="40" t="s">
        <v>2</v>
      </c>
      <c r="B11" s="40" t="s">
        <v>92</v>
      </c>
      <c r="C11" s="40" t="s">
        <v>93</v>
      </c>
      <c r="D11" s="40"/>
      <c r="E11" s="40"/>
    </row>
    <row r="12" spans="1:5" ht="21.75" customHeight="1" x14ac:dyDescent="0.35">
      <c r="A12" s="18" t="s">
        <v>94</v>
      </c>
      <c r="B12" s="43"/>
      <c r="C12" s="43"/>
      <c r="D12" s="44"/>
      <c r="E12" s="44"/>
    </row>
    <row r="13" spans="1:5" ht="21.75" customHeight="1" x14ac:dyDescent="0.35">
      <c r="A13" s="16" t="s">
        <v>95</v>
      </c>
      <c r="B13" s="43"/>
      <c r="C13" s="43"/>
      <c r="D13" s="42"/>
      <c r="E13" s="42"/>
    </row>
    <row r="14" spans="1:5" ht="21.75" customHeight="1" x14ac:dyDescent="0.35">
      <c r="A14" s="18" t="s">
        <v>96</v>
      </c>
      <c r="B14" s="45"/>
      <c r="C14" s="45"/>
      <c r="D14" s="44"/>
      <c r="E14" s="44"/>
    </row>
    <row r="15" spans="1:5" ht="24" customHeight="1" x14ac:dyDescent="0.35">
      <c r="A15" s="11" t="s">
        <v>97</v>
      </c>
      <c r="B15" s="11"/>
      <c r="C15" s="11"/>
      <c r="D15" s="11"/>
      <c r="E15" s="11"/>
    </row>
    <row r="16" spans="1:5" ht="19.5" customHeight="1" x14ac:dyDescent="0.35">
      <c r="A16" s="40" t="s">
        <v>2</v>
      </c>
      <c r="B16" s="40" t="s">
        <v>92</v>
      </c>
      <c r="C16" s="40" t="s">
        <v>93</v>
      </c>
      <c r="D16" s="40" t="s">
        <v>98</v>
      </c>
      <c r="E16" s="40" t="s">
        <v>85</v>
      </c>
    </row>
    <row r="17" spans="1:5" ht="21.75" customHeight="1" x14ac:dyDescent="0.35">
      <c r="A17" s="16" t="s">
        <v>99</v>
      </c>
      <c r="B17" s="46">
        <f>B5*B6</f>
        <v>0</v>
      </c>
      <c r="C17" s="46">
        <f>C5*C6</f>
        <v>0</v>
      </c>
      <c r="D17" s="46" t="str">
        <f>IFERROR(B17/B8+C17/C8,"—")</f>
        <v>—</v>
      </c>
      <c r="E17" s="32" t="s">
        <v>100</v>
      </c>
    </row>
    <row r="18" spans="1:5" ht="21.75" customHeight="1" x14ac:dyDescent="0.35">
      <c r="A18" s="18" t="s">
        <v>101</v>
      </c>
      <c r="B18" s="46">
        <f>B17</f>
        <v>0</v>
      </c>
      <c r="C18" s="46">
        <f>C17*C8</f>
        <v>0</v>
      </c>
      <c r="D18" s="46">
        <f>B18+C18</f>
        <v>0</v>
      </c>
      <c r="E18" s="29" t="s">
        <v>102</v>
      </c>
    </row>
    <row r="19" spans="1:5" ht="21.75" customHeight="1" x14ac:dyDescent="0.35">
      <c r="A19" s="16" t="s">
        <v>103</v>
      </c>
      <c r="B19" s="46">
        <f>B5*B12</f>
        <v>0</v>
      </c>
      <c r="C19" s="46">
        <f>C5*C12</f>
        <v>0</v>
      </c>
      <c r="D19" s="46" t="str">
        <f>IFERROR(B19/B13+C19/C13,"—")</f>
        <v>—</v>
      </c>
      <c r="E19" s="32" t="s">
        <v>100</v>
      </c>
    </row>
    <row r="20" spans="1:5" ht="21.75" customHeight="1" x14ac:dyDescent="0.35">
      <c r="A20" s="18" t="s">
        <v>104</v>
      </c>
      <c r="B20" s="46">
        <f>B19</f>
        <v>0</v>
      </c>
      <c r="C20" s="46">
        <f>C19*C13</f>
        <v>0</v>
      </c>
      <c r="D20" s="46">
        <f>B20+C20</f>
        <v>0</v>
      </c>
      <c r="E20" s="29" t="s">
        <v>105</v>
      </c>
    </row>
    <row r="21" spans="1:5" ht="21.75" customHeight="1" x14ac:dyDescent="0.35">
      <c r="A21" s="16" t="s">
        <v>106</v>
      </c>
      <c r="B21" s="46">
        <f>B20-B18</f>
        <v>0</v>
      </c>
      <c r="C21" s="46">
        <f>C20-C18</f>
        <v>0</v>
      </c>
      <c r="D21" s="46">
        <f>D20-D18</f>
        <v>0</v>
      </c>
      <c r="E21" s="32" t="s">
        <v>107</v>
      </c>
    </row>
    <row r="22" spans="1:5" ht="21.75" customHeight="1" x14ac:dyDescent="0.35">
      <c r="A22" s="18" t="s">
        <v>108</v>
      </c>
      <c r="B22" s="47" t="str">
        <f>IFERROR(B21/B18,"N/D")</f>
        <v>N/D</v>
      </c>
      <c r="C22" s="47" t="str">
        <f>IFERROR(C21/C18,"N/D")</f>
        <v>N/D</v>
      </c>
      <c r="D22" s="47" t="str">
        <f>IFERROR(D21/D18,"N/D")</f>
        <v>N/D</v>
      </c>
      <c r="E22" s="29" t="s">
        <v>109</v>
      </c>
    </row>
    <row r="23" spans="1:5" ht="21.75" customHeight="1" x14ac:dyDescent="0.35">
      <c r="A23" s="16" t="s">
        <v>110</v>
      </c>
      <c r="B23" s="48" t="s">
        <v>66</v>
      </c>
      <c r="C23" s="46">
        <f>C5*C12*(C13-C8)</f>
        <v>0</v>
      </c>
      <c r="D23" s="46">
        <f>C23</f>
        <v>0</v>
      </c>
      <c r="E23" s="32" t="s">
        <v>111</v>
      </c>
    </row>
    <row r="24" spans="1:5" ht="24" customHeight="1" x14ac:dyDescent="0.35">
      <c r="A24" s="11" t="s">
        <v>112</v>
      </c>
      <c r="B24" s="11"/>
      <c r="C24" s="11"/>
      <c r="D24" s="11"/>
      <c r="E24" s="11"/>
    </row>
    <row r="25" spans="1:5" ht="27.75" customHeight="1" x14ac:dyDescent="0.35">
      <c r="A25" s="40" t="s">
        <v>113</v>
      </c>
      <c r="B25" s="40" t="s">
        <v>114</v>
      </c>
      <c r="C25" s="40" t="s">
        <v>115</v>
      </c>
      <c r="D25" s="40" t="s">
        <v>116</v>
      </c>
      <c r="E25" s="40" t="s">
        <v>117</v>
      </c>
    </row>
    <row r="26" spans="1:5" ht="21.75" customHeight="1" x14ac:dyDescent="0.35">
      <c r="A26" s="49" t="s">
        <v>118</v>
      </c>
      <c r="B26" s="50">
        <f>Input_Data!B23</f>
        <v>0</v>
      </c>
      <c r="C26" s="51" t="str">
        <f>IFERROR(72/(B26*100),"N/D")</f>
        <v>N/D</v>
      </c>
      <c r="D26" s="52">
        <f>IFERROR(My_Position!D20*(1+B26)^5,"N/D")</f>
        <v>0</v>
      </c>
      <c r="E26" s="52">
        <f>IFERROR(My_Position!D20*(1+B26)^10,"N/D")</f>
        <v>0</v>
      </c>
    </row>
    <row r="27" spans="1:5" ht="21.75" customHeight="1" x14ac:dyDescent="0.35">
      <c r="A27" s="53" t="s">
        <v>119</v>
      </c>
      <c r="B27" s="35">
        <f>Input_Data!B24</f>
        <v>0</v>
      </c>
      <c r="C27" s="54" t="str">
        <f>IFERROR(72/(B27*100),"N/D")</f>
        <v>N/D</v>
      </c>
      <c r="D27" s="55">
        <f>IFERROR(My_Position!D20*(1+B27)^5,"N/D")</f>
        <v>0</v>
      </c>
      <c r="E27" s="55">
        <f>IFERROR(My_Position!D20*(1+B27)^10,"N/D")</f>
        <v>0</v>
      </c>
    </row>
    <row r="28" spans="1:5" ht="21.75" customHeight="1" x14ac:dyDescent="0.35">
      <c r="A28" s="56" t="s">
        <v>120</v>
      </c>
      <c r="B28" s="57">
        <f>Input_Data!B21</f>
        <v>0</v>
      </c>
      <c r="C28" s="58" t="str">
        <f>IFERROR(72/(B28*100),"N/D")</f>
        <v>N/D</v>
      </c>
      <c r="D28" s="59">
        <f>IFERROR(My_Position!D20*(1+B28)^5,"N/D")</f>
        <v>0</v>
      </c>
      <c r="E28" s="59">
        <f>IFERROR(My_Position!D20*(1+B28)^10,"N/D")</f>
        <v>0</v>
      </c>
    </row>
    <row r="29" spans="1:5" ht="21.75" customHeight="1" x14ac:dyDescent="0.35">
      <c r="A29" s="60" t="s">
        <v>121</v>
      </c>
      <c r="B29" s="61">
        <v>7.0000000000000007E-2</v>
      </c>
      <c r="C29" s="62">
        <f>IFERROR(72/(B29*100),"N/D")</f>
        <v>10.285714285714285</v>
      </c>
      <c r="D29" s="63">
        <f>IFERROR(My_Position!D20*(1+B29)^5,"N/D")</f>
        <v>0</v>
      </c>
      <c r="E29" s="63">
        <f>IFERROR(My_Position!D20*(1+B29)^10,"N/D")</f>
        <v>0</v>
      </c>
    </row>
    <row r="30" spans="1:5" ht="24" customHeight="1" x14ac:dyDescent="0.35">
      <c r="A30" s="11" t="s">
        <v>122</v>
      </c>
      <c r="B30" s="11"/>
      <c r="C30" s="11"/>
      <c r="D30" s="11"/>
      <c r="E30" s="11"/>
    </row>
    <row r="31" spans="1:5" ht="19.5" customHeight="1" x14ac:dyDescent="0.35">
      <c r="A31" s="64" t="s">
        <v>53</v>
      </c>
      <c r="B31" s="64" t="s">
        <v>123</v>
      </c>
      <c r="C31" s="64" t="s">
        <v>55</v>
      </c>
      <c r="D31" s="64"/>
      <c r="E31" s="64"/>
    </row>
    <row r="32" spans="1:5" ht="24" customHeight="1" x14ac:dyDescent="0.35">
      <c r="A32" s="18" t="s">
        <v>124</v>
      </c>
      <c r="B32" s="65">
        <f>B6</f>
        <v>0</v>
      </c>
      <c r="C32" s="10" t="s">
        <v>125</v>
      </c>
      <c r="D32" s="10"/>
      <c r="E32" s="10"/>
    </row>
    <row r="33" spans="1:5" ht="24" customHeight="1" x14ac:dyDescent="0.35">
      <c r="A33" s="16" t="s">
        <v>126</v>
      </c>
      <c r="B33" s="66">
        <v>609.22</v>
      </c>
      <c r="C33" s="9" t="s">
        <v>125</v>
      </c>
      <c r="D33" s="9"/>
      <c r="E33" s="9"/>
    </row>
    <row r="34" spans="1:5" ht="24.75" customHeight="1" x14ac:dyDescent="0.35">
      <c r="A34" s="18" t="s">
        <v>127</v>
      </c>
      <c r="B34" s="67" t="str">
        <f>IF(B12&gt;B6,"✅ YES — you are in profit","❌ NO — still at a loss")</f>
        <v>❌ NO — still at a loss</v>
      </c>
      <c r="C34" s="8" t="s">
        <v>128</v>
      </c>
      <c r="D34" s="8"/>
      <c r="E34" s="8"/>
    </row>
    <row r="35" spans="1:5" ht="24.75" customHeight="1" x14ac:dyDescent="0.35">
      <c r="A35" s="16" t="s">
        <v>129</v>
      </c>
      <c r="B35" s="68" t="str">
        <f>IF(C12&gt;C6,"✅ YES — you are in profit","❌ NO — still at a loss")</f>
        <v>❌ NO — still at a loss</v>
      </c>
      <c r="C35" s="9" t="s">
        <v>128</v>
      </c>
      <c r="D35" s="9"/>
      <c r="E35" s="9"/>
    </row>
    <row r="36" spans="1:5" ht="24" customHeight="1" x14ac:dyDescent="0.35">
      <c r="A36" s="18" t="s">
        <v>130</v>
      </c>
      <c r="B36" s="69"/>
      <c r="C36" s="8" t="s">
        <v>131</v>
      </c>
      <c r="D36" s="8"/>
      <c r="E36" s="8"/>
    </row>
    <row r="37" spans="1:5" ht="24" customHeight="1" x14ac:dyDescent="0.35">
      <c r="A37" s="16" t="s">
        <v>132</v>
      </c>
      <c r="B37" s="70"/>
      <c r="C37" s="8" t="s">
        <v>133</v>
      </c>
      <c r="D37" s="8"/>
      <c r="E37" s="8"/>
    </row>
    <row r="38" spans="1:5" ht="24" customHeight="1" x14ac:dyDescent="0.35">
      <c r="A38" s="18" t="s">
        <v>134</v>
      </c>
      <c r="B38" s="71" t="str">
        <f>IFERROR((C12-B37)/B37,"N/D")</f>
        <v>N/D</v>
      </c>
      <c r="C38" s="8" t="s">
        <v>135</v>
      </c>
      <c r="D38" s="8"/>
      <c r="E38" s="8"/>
    </row>
    <row r="40" spans="1:5" ht="15" customHeight="1" x14ac:dyDescent="0.35">
      <c r="A40" s="7" t="s">
        <v>136</v>
      </c>
      <c r="B40" s="7"/>
      <c r="C40" s="7"/>
      <c r="D40" s="7"/>
      <c r="E40" s="7"/>
    </row>
    <row r="41" spans="1:5" ht="27.75" customHeight="1" x14ac:dyDescent="0.35">
      <c r="A41" s="6" t="s">
        <v>137</v>
      </c>
      <c r="B41" s="6"/>
      <c r="C41" s="6"/>
      <c r="D41" s="6"/>
      <c r="E41" s="6"/>
    </row>
    <row r="43" spans="1:5" ht="24" customHeight="1" x14ac:dyDescent="0.35">
      <c r="A43" s="5" t="s">
        <v>138</v>
      </c>
      <c r="B43" s="5"/>
      <c r="C43" s="5"/>
      <c r="D43" s="5"/>
      <c r="E43" s="5"/>
    </row>
    <row r="44" spans="1:5" ht="18" customHeight="1" x14ac:dyDescent="0.35">
      <c r="A44" s="4" t="s">
        <v>139</v>
      </c>
      <c r="B44" s="4"/>
      <c r="C44" s="4"/>
      <c r="D44" s="4"/>
      <c r="E44" s="4"/>
    </row>
    <row r="45" spans="1:5" ht="30" customHeight="1" x14ac:dyDescent="0.35">
      <c r="A45" s="40" t="s">
        <v>140</v>
      </c>
      <c r="B45" s="72" t="s">
        <v>141</v>
      </c>
      <c r="C45" s="40" t="s">
        <v>142</v>
      </c>
      <c r="D45" s="40" t="s">
        <v>143</v>
      </c>
      <c r="E45" s="40" t="s">
        <v>56</v>
      </c>
    </row>
    <row r="46" spans="1:5" ht="18" customHeight="1" x14ac:dyDescent="0.35">
      <c r="A46" s="3" t="s">
        <v>144</v>
      </c>
      <c r="B46" s="3"/>
      <c r="C46" s="3"/>
      <c r="D46" s="3"/>
      <c r="E46" s="3"/>
    </row>
    <row r="47" spans="1:5" ht="27.75" customHeight="1" x14ac:dyDescent="0.35">
      <c r="A47" s="18" t="s">
        <v>145</v>
      </c>
      <c r="B47" s="73"/>
      <c r="C47" s="74" t="s">
        <v>146</v>
      </c>
      <c r="D47" s="75" t="s">
        <v>147</v>
      </c>
      <c r="E47" s="76" t="str">
        <f>IF(B47&lt;25.03,"🟢 ATTRACTIVE",IF(B47&gt;29.65,"🔴 EXPENSIVE","🟡 NORMAL"))</f>
        <v>🟢 ATTRACTIVE</v>
      </c>
    </row>
    <row r="48" spans="1:5" ht="36" customHeight="1" x14ac:dyDescent="0.35">
      <c r="A48" s="16" t="s">
        <v>148</v>
      </c>
      <c r="B48" s="73"/>
      <c r="C48" s="2" t="s">
        <v>149</v>
      </c>
      <c r="D48" s="2"/>
      <c r="E48" s="2"/>
    </row>
    <row r="49" spans="1:5" ht="36" customHeight="1" x14ac:dyDescent="0.35">
      <c r="A49" s="77" t="s">
        <v>150</v>
      </c>
      <c r="B49" s="78" t="str">
        <f>IFERROR(B47/B48-1,"N/D")</f>
        <v>N/D</v>
      </c>
      <c r="C49" s="1" t="str">
        <f>IFERROR(IF(B47&lt;B48*0.9,"Trading "&amp;TEXT(ABS(1-B47/B48)*100,"0.0")&amp;"% cheaper than its historical average",IF(B47&gt;B48*1.1,"Trading "&amp;TEXT((B47/B48-1)*100,"0.0")&amp;"% more expensive than its historical average","Trading within normal range (±10% of historical average)")),"⚪ Fill in current and historical P/E first")</f>
        <v>Trading within normal range (±10% of historical average)</v>
      </c>
      <c r="D49" s="1"/>
      <c r="E49" s="79" t="str">
        <f>IFERROR(IF(B47&lt;B48*0.9,"🟢 ATTRACTIVE",IF(B47&gt;B48*1.1,"🔴 EXPENSIVE","🟡 NORMAL")),"⚪ N/A")</f>
        <v>🟡 NORMAL</v>
      </c>
    </row>
    <row r="50" spans="1:5" ht="27.75" customHeight="1" x14ac:dyDescent="0.35">
      <c r="A50" s="90" t="s">
        <v>151</v>
      </c>
      <c r="B50" s="90"/>
      <c r="C50" s="90"/>
      <c r="D50" s="90"/>
      <c r="E50" s="90"/>
    </row>
    <row r="51" spans="1:5" ht="27.75" customHeight="1" x14ac:dyDescent="0.35">
      <c r="A51" s="18" t="s">
        <v>152</v>
      </c>
      <c r="B51" s="80"/>
      <c r="C51" s="91" t="s">
        <v>153</v>
      </c>
      <c r="D51" s="91"/>
      <c r="E51" s="81" t="s">
        <v>154</v>
      </c>
    </row>
    <row r="52" spans="1:5" ht="27.75" customHeight="1" x14ac:dyDescent="0.35">
      <c r="A52" s="16" t="s">
        <v>155</v>
      </c>
      <c r="B52" s="80"/>
      <c r="C52" s="92" t="s">
        <v>156</v>
      </c>
      <c r="D52" s="92"/>
      <c r="E52" s="82" t="s">
        <v>157</v>
      </c>
    </row>
    <row r="53" spans="1:5" ht="34.5" customHeight="1" x14ac:dyDescent="0.35">
      <c r="A53" s="18" t="s">
        <v>158</v>
      </c>
      <c r="B53" s="83" t="str">
        <f>IFERROR((C12-B50)/(B51-B50),"N/D")</f>
        <v>N/D</v>
      </c>
      <c r="C53" s="74" t="s">
        <v>159</v>
      </c>
      <c r="D53" s="75" t="s">
        <v>160</v>
      </c>
      <c r="E53" s="76" t="str">
        <f>IFERROR(IF(B52&lt;0.33,"🟢 ATTRACTIVE",IF(B52&lt;0.67,"🟡 NORMAL","🔴 EXPENSIVE")),"⚪ N/A")</f>
        <v>🟢 ATTRACTIVE</v>
      </c>
    </row>
    <row r="54" spans="1:5" ht="34.5" customHeight="1" x14ac:dyDescent="0.35">
      <c r="A54" s="93" t="s">
        <v>161</v>
      </c>
      <c r="B54" s="93"/>
      <c r="C54" s="93"/>
      <c r="D54" s="93"/>
      <c r="E54" s="93"/>
    </row>
    <row r="55" spans="1:5" ht="39.75" customHeight="1" x14ac:dyDescent="0.35">
      <c r="A55" s="18" t="s">
        <v>162</v>
      </c>
      <c r="B55" s="84">
        <f>IFERROR((C12-710.15)/710.15,"N/D")</f>
        <v>-1</v>
      </c>
      <c r="C55" s="74" t="s">
        <v>163</v>
      </c>
      <c r="D55" s="75" t="s">
        <v>164</v>
      </c>
      <c r="E55" s="76" t="str">
        <f>IFERROR(IF(ABS(B54)&lt;0.001,"🟢 FAIR",IF(ABS(B54)&lt;0.005,"🟡 REVIEW","🔴 EXPENSIVE")),"⚪ N/A")</f>
        <v>🟢 FAIR</v>
      </c>
    </row>
    <row r="56" spans="1:5" ht="31.5" customHeight="1" x14ac:dyDescent="0.35">
      <c r="A56" s="16" t="s">
        <v>165</v>
      </c>
      <c r="B56" s="85" t="str">
        <f>IFERROR(C12*(24.72/B47),"N/D")</f>
        <v>N/D</v>
      </c>
      <c r="C56" s="94" t="s">
        <v>166</v>
      </c>
      <c r="D56" s="94"/>
      <c r="E56" s="76" t="str">
        <f>IFERROR(IF(C12&lt;B55,"🟢 BUY ZONE",IF(C12&lt;B55*1.05,"🟡 CLOSE","🔴 WAIT")),"⚪ N/A")</f>
        <v>🔴 WAIT</v>
      </c>
    </row>
    <row r="57" spans="1:5" ht="27.75" customHeight="1" x14ac:dyDescent="0.35">
      <c r="A57" s="95" t="str">
        <f>IF(AND(E47="🟢 ATTRACTIVE",B53&lt;0.33),"🟢 ATTRACTIVE MOMENT — P/E low and price near annual low",IF(AND(E47="🔴 EXPENSIVE",B53&gt;0.67),"🔴 AVOID — P/E high and price near annual high","🟡 NEUTRAL — review individual indicators above"))</f>
        <v>🟡 NEUTRAL — review individual indicators above</v>
      </c>
      <c r="B57" s="95"/>
      <c r="C57" s="95"/>
      <c r="D57" s="95"/>
      <c r="E57" s="64" t="s">
        <v>167</v>
      </c>
    </row>
    <row r="58" spans="1:5" ht="39.75" customHeight="1" x14ac:dyDescent="0.35">
      <c r="A58" s="96" t="s">
        <v>168</v>
      </c>
      <c r="B58" s="96"/>
      <c r="C58" s="96"/>
      <c r="D58" s="96"/>
      <c r="E58" s="96"/>
    </row>
  </sheetData>
  <mergeCells count="28">
    <mergeCell ref="C56:D56"/>
    <mergeCell ref="A57:D57"/>
    <mergeCell ref="A58:E58"/>
    <mergeCell ref="C49:D49"/>
    <mergeCell ref="A50:E50"/>
    <mergeCell ref="C51:D51"/>
    <mergeCell ref="C52:D52"/>
    <mergeCell ref="A54:E54"/>
    <mergeCell ref="A41:E41"/>
    <mergeCell ref="A43:E43"/>
    <mergeCell ref="A44:E44"/>
    <mergeCell ref="A46:E46"/>
    <mergeCell ref="C48:E48"/>
    <mergeCell ref="C35:E35"/>
    <mergeCell ref="C36:E36"/>
    <mergeCell ref="C37:E37"/>
    <mergeCell ref="C38:E38"/>
    <mergeCell ref="A40:E40"/>
    <mergeCell ref="A24:E24"/>
    <mergeCell ref="A30:E30"/>
    <mergeCell ref="C32:E32"/>
    <mergeCell ref="C33:E33"/>
    <mergeCell ref="C34:E34"/>
    <mergeCell ref="A1:E1"/>
    <mergeCell ref="A2:E2"/>
    <mergeCell ref="A3:E3"/>
    <mergeCell ref="A10:E10"/>
    <mergeCell ref="A15:E15"/>
  </mergeCells>
  <conditionalFormatting sqref="E45 E47 E49">
    <cfRule type="expression" dxfId="12" priority="2">
      <formula>OR(NOT(ISERROR(SEARCH("ATRACTIVO",E45))),NOT(ISERROR(SEARCH("JUSTO",E45))),NOT(ISERROR(SEARCH("COMPRA",E45))))</formula>
    </cfRule>
    <cfRule type="expression" dxfId="11" priority="3">
      <formula>OR(NOT(ISERROR(SEARCH("NORMAL",E45))),NOT(ISERROR(SEARCH("CASI",E45))),NOT(ISERROR(SEARCH("NEUTRAL",E45))))</formula>
    </cfRule>
    <cfRule type="expression" dxfId="10" priority="4">
      <formula>OR(NOT(ISERROR(SEARCH("CARO",E45))),NOT(ISERROR(SEARCH("ESPERAR",E45))))</formula>
    </cfRule>
  </conditionalFormatting>
  <conditionalFormatting sqref="E47 E49 E51:E53 E55:E57">
    <cfRule type="expression" dxfId="9" priority="5">
      <formula>OR(NOT(ISERROR(SEARCH("ATRACTIVO",E47))),NOT(ISERROR(SEARCH("JUSTO",E47))),NOT(ISERROR(SEARCH("COMPRA",E47))))</formula>
    </cfRule>
    <cfRule type="expression" dxfId="8" priority="6">
      <formula>OR(NOT(ISERROR(SEARCH("NORMAL",E47))),NOT(ISERROR(SEARCH("CASI",E47))),NOT(ISERROR(SEARCH("NEUTRAL",E47))))</formula>
    </cfRule>
    <cfRule type="expression" dxfId="7" priority="7">
      <formula>OR(NOT(ISERROR(SEARCH("CARO",E47))),NOT(ISERROR(SEARCH("ESPERAR",E47))))</formula>
    </cfRule>
  </conditionalFormatting>
  <conditionalFormatting sqref="E47:E57">
    <cfRule type="expression" dxfId="6" priority="11">
      <formula>OR(NOT(ISERROR(SEARCH("ATTRACTIVE",E47))),NOT(ISERROR(SEARCH("BUY",E47))),NOT(ISERROR(SEARCH("FAIR",E47))))</formula>
    </cfRule>
    <cfRule type="expression" dxfId="5" priority="12">
      <formula>OR(NOT(ISERROR(SEARCH("NORMAL",E47))),NOT(ISERROR(SEARCH("CLOSE",E47))),NOT(ISERROR(SEARCH("IN LINE",E47))))</formula>
    </cfRule>
    <cfRule type="expression" dxfId="4" priority="13">
      <formula>OR(NOT(ISERROR(SEARCH("EXPENSIVE",E47))),NOT(ISERROR(SEARCH("WAIT",E47))),NOT(ISERROR(SEARCH("LAGS",E47))))</formula>
    </cfRule>
    <cfRule type="expression" dxfId="3" priority="14">
      <formula>NOT(ISERROR(SEARCH("N/A",E47)))</formula>
    </cfRule>
  </conditionalFormatting>
  <conditionalFormatting sqref="E49">
    <cfRule type="expression" dxfId="2" priority="8">
      <formula>NOT(ISERROR(SEARCH("ATRACTIVO",E49)))</formula>
    </cfRule>
    <cfRule type="expression" dxfId="1" priority="9">
      <formula>NOT(ISERROR(SEARCH("NORMAL",E49)))</formula>
    </cfRule>
    <cfRule type="expression" dxfId="0" priority="10">
      <formula>NOT(ISERROR(SEARCH("CARO",E49)))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70" customWidth="1"/>
  </cols>
  <sheetData>
    <row r="1" spans="1:2" ht="33.75" customHeight="1" x14ac:dyDescent="0.35">
      <c r="A1" s="14" t="s">
        <v>169</v>
      </c>
      <c r="B1" s="14"/>
    </row>
    <row r="2" spans="1:2" ht="19.5" customHeight="1" x14ac:dyDescent="0.35">
      <c r="A2" s="86" t="s">
        <v>170</v>
      </c>
      <c r="B2" s="86" t="s">
        <v>171</v>
      </c>
    </row>
    <row r="3" spans="1:2" ht="19.5" customHeight="1" x14ac:dyDescent="0.35">
      <c r="A3" s="87" t="s">
        <v>172</v>
      </c>
      <c r="B3" s="88" t="s">
        <v>173</v>
      </c>
    </row>
    <row r="4" spans="1:2" ht="19.5" customHeight="1" x14ac:dyDescent="0.35">
      <c r="A4" s="53" t="s">
        <v>174</v>
      </c>
      <c r="B4" s="89" t="s">
        <v>175</v>
      </c>
    </row>
    <row r="5" spans="1:2" ht="27.75" customHeight="1" x14ac:dyDescent="0.35">
      <c r="A5" s="87" t="s">
        <v>176</v>
      </c>
      <c r="B5" s="88" t="s">
        <v>177</v>
      </c>
    </row>
    <row r="6" spans="1:2" ht="19.5" customHeight="1" x14ac:dyDescent="0.35">
      <c r="A6" s="53" t="s">
        <v>178</v>
      </c>
      <c r="B6" s="89" t="s">
        <v>179</v>
      </c>
    </row>
    <row r="7" spans="1:2" ht="19.5" customHeight="1" x14ac:dyDescent="0.35">
      <c r="A7" s="87" t="s">
        <v>180</v>
      </c>
      <c r="B7" s="88" t="s">
        <v>181</v>
      </c>
    </row>
    <row r="8" spans="1:2" ht="19.5" customHeight="1" x14ac:dyDescent="0.35">
      <c r="A8" s="53" t="s">
        <v>182</v>
      </c>
      <c r="B8" s="89" t="s">
        <v>183</v>
      </c>
    </row>
    <row r="9" spans="1:2" ht="19.5" customHeight="1" x14ac:dyDescent="0.35"/>
    <row r="10" spans="1:2" ht="19.5" customHeight="1" x14ac:dyDescent="0.35">
      <c r="A10" s="101" t="s">
        <v>184</v>
      </c>
      <c r="B10" s="101"/>
    </row>
    <row r="11" spans="1:2" ht="19.5" customHeight="1" x14ac:dyDescent="0.35">
      <c r="A11" s="87" t="s">
        <v>185</v>
      </c>
      <c r="B11" s="88" t="s">
        <v>186</v>
      </c>
    </row>
    <row r="12" spans="1:2" ht="19.5" customHeight="1" x14ac:dyDescent="0.35">
      <c r="A12" s="53" t="s">
        <v>187</v>
      </c>
      <c r="B12" s="89" t="s">
        <v>188</v>
      </c>
    </row>
    <row r="13" spans="1:2" ht="19.5" customHeight="1" x14ac:dyDescent="0.35">
      <c r="A13" s="87" t="s">
        <v>189</v>
      </c>
      <c r="B13" s="88" t="s">
        <v>190</v>
      </c>
    </row>
    <row r="14" spans="1:2" ht="19.5" customHeight="1" x14ac:dyDescent="0.35">
      <c r="A14" s="53" t="s">
        <v>191</v>
      </c>
      <c r="B14" s="89" t="s">
        <v>192</v>
      </c>
    </row>
    <row r="15" spans="1:2" ht="19.5" customHeight="1" x14ac:dyDescent="0.35">
      <c r="A15" s="87" t="s">
        <v>193</v>
      </c>
      <c r="B15" s="88" t="s">
        <v>194</v>
      </c>
    </row>
    <row r="16" spans="1:2" ht="19.5" customHeight="1" x14ac:dyDescent="0.35"/>
    <row r="17" spans="1:2" ht="19.5" customHeight="1" x14ac:dyDescent="0.35">
      <c r="A17" s="87" t="s">
        <v>195</v>
      </c>
      <c r="B17" s="88" t="s">
        <v>196</v>
      </c>
    </row>
    <row r="18" spans="1:2" ht="19.5" customHeight="1" x14ac:dyDescent="0.35">
      <c r="A18" s="53" t="s">
        <v>197</v>
      </c>
      <c r="B18" s="89" t="s">
        <v>198</v>
      </c>
    </row>
    <row r="19" spans="1:2" ht="19.5" customHeight="1" x14ac:dyDescent="0.35">
      <c r="A19" s="87" t="s">
        <v>199</v>
      </c>
      <c r="B19" s="88" t="s">
        <v>200</v>
      </c>
    </row>
    <row r="20" spans="1:2" ht="19.5" customHeight="1" x14ac:dyDescent="0.35">
      <c r="A20" s="53" t="s">
        <v>201</v>
      </c>
      <c r="B20" s="89" t="s">
        <v>202</v>
      </c>
    </row>
    <row r="21" spans="1:2" ht="19.5" customHeight="1" x14ac:dyDescent="0.35">
      <c r="A21" s="87" t="s">
        <v>203</v>
      </c>
      <c r="B21" s="88" t="s">
        <v>204</v>
      </c>
    </row>
    <row r="22" spans="1:2" ht="19.5" customHeight="1" x14ac:dyDescent="0.35">
      <c r="A22" s="53" t="s">
        <v>205</v>
      </c>
      <c r="B22" s="89" t="s">
        <v>206</v>
      </c>
    </row>
    <row r="23" spans="1:2" ht="19.5" customHeight="1" x14ac:dyDescent="0.35">
      <c r="A23" s="87" t="s">
        <v>207</v>
      </c>
      <c r="B23" s="88" t="s">
        <v>208</v>
      </c>
    </row>
    <row r="24" spans="1:2" ht="19.5" customHeight="1" x14ac:dyDescent="0.35">
      <c r="A24" s="53" t="s">
        <v>209</v>
      </c>
      <c r="B24" s="89" t="s">
        <v>210</v>
      </c>
    </row>
    <row r="25" spans="1:2" ht="19.5" customHeight="1" x14ac:dyDescent="0.35">
      <c r="A25" s="87" t="s">
        <v>211</v>
      </c>
      <c r="B25" s="88" t="s">
        <v>212</v>
      </c>
    </row>
  </sheetData>
  <mergeCells count="2">
    <mergeCell ref="A1:B1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Input_Data</vt:lpstr>
      <vt:lpstr>Analysis</vt:lpstr>
      <vt:lpstr>My_Position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salvadorj97@outlook.com</dc:creator>
  <dc:description/>
  <cp:lastModifiedBy>JIMENEZ JUAREZ Salvador</cp:lastModifiedBy>
  <cp:revision>0</cp:revision>
  <dcterms:created xsi:type="dcterms:W3CDTF">2026-08-14T01:22:26Z</dcterms:created>
  <dcterms:modified xsi:type="dcterms:W3CDTF">2026-08-24T17:41:17Z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da086d4d-a2c2-4d62-81db-eda670ff75a0</vt:lpwstr>
  </property>
</Properties>
</file>