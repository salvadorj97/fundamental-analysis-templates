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sers\Salvador\Desktop\"/>
    </mc:Choice>
  </mc:AlternateContent>
  <xr:revisionPtr revIDLastSave="0" documentId="13_ncr:1_{1C3DE15A-D6BC-44FB-BBF7-2FDC0AAF56E8}" xr6:coauthVersionLast="47" xr6:coauthVersionMax="47" xr10:uidLastSave="{00000000-0000-0000-0000-000000000000}"/>
  <bookViews>
    <workbookView xWindow="-110" yWindow="-110" windowWidth="21820" windowHeight="13900" tabRatio="500" firstSheet="2" activeTab="5" xr2:uid="{00000000-000D-0000-FFFF-FFFF00000000}"/>
  </bookViews>
  <sheets>
    <sheet name="income-statement_symbol=MSFT&amp;pe" sheetId="12" r:id="rId1"/>
    <sheet name="balance-sheet-statement_symbol=" sheetId="13" r:id="rId2"/>
    <sheet name="cash-flow-statement_symbol=MSFT" sheetId="14" r:id="rId3"/>
    <sheet name="Setup" sheetId="4" r:id="rId4"/>
    <sheet name="FMP_Data" sheetId="5" r:id="rId5"/>
    <sheet name="Input_Data" sheetId="6" r:id="rId6"/>
    <sheet name="Analysis" sheetId="7" r:id="rId7"/>
    <sheet name="My_Position" sheetId="8" r:id="rId8"/>
    <sheet name="DuPont_Pyramid" sheetId="11" r:id="rId9"/>
    <sheet name="Sector_Benchmark" sheetId="9" r:id="rId10"/>
    <sheet name="Guide" sheetId="10" r:id="rId11"/>
  </sheets>
  <externalReferences>
    <externalReference r:id="rId12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7" l="1"/>
  <c r="B34" i="8"/>
  <c r="E35" i="8"/>
  <c r="E41" i="8"/>
  <c r="F22" i="9"/>
  <c r="F21" i="9"/>
  <c r="F19" i="9"/>
  <c r="F18" i="9"/>
  <c r="F16" i="9"/>
  <c r="F15" i="9"/>
  <c r="F14" i="9"/>
  <c r="F12" i="9"/>
  <c r="F11" i="9"/>
  <c r="F10" i="9"/>
  <c r="F9" i="9"/>
  <c r="F7" i="9"/>
  <c r="F6" i="9"/>
  <c r="E5" i="7"/>
  <c r="D5" i="7"/>
  <c r="C5" i="7"/>
  <c r="B5" i="7"/>
  <c r="E4" i="6"/>
  <c r="D4" i="6"/>
  <c r="C4" i="6"/>
  <c r="B4" i="6"/>
  <c r="E38" i="6"/>
  <c r="D38" i="6"/>
  <c r="C38" i="6"/>
  <c r="B38" i="6"/>
  <c r="E37" i="6"/>
  <c r="D37" i="6"/>
  <c r="C37" i="6"/>
  <c r="B37" i="6"/>
  <c r="E36" i="6"/>
  <c r="E21" i="7" s="1"/>
  <c r="D36" i="6"/>
  <c r="D21" i="7" s="1"/>
  <c r="C36" i="6"/>
  <c r="C21" i="7" s="1"/>
  <c r="B36" i="6"/>
  <c r="E35" i="6"/>
  <c r="D35" i="6"/>
  <c r="C35" i="6"/>
  <c r="B35" i="6"/>
  <c r="E34" i="6"/>
  <c r="D34" i="6"/>
  <c r="C34" i="6"/>
  <c r="B34" i="6"/>
  <c r="E31" i="6"/>
  <c r="E32" i="6" s="1"/>
  <c r="E8" i="7" s="1"/>
  <c r="D31" i="6"/>
  <c r="D32" i="6" s="1"/>
  <c r="C31" i="6"/>
  <c r="C32" i="6" s="1"/>
  <c r="B31" i="6"/>
  <c r="B32" i="6" s="1"/>
  <c r="E30" i="6"/>
  <c r="D30" i="6"/>
  <c r="O14" i="11" s="1"/>
  <c r="C30" i="6"/>
  <c r="N14" i="11" s="1"/>
  <c r="B30" i="6"/>
  <c r="M14" i="11" s="1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2" i="6"/>
  <c r="E7" i="7" s="1"/>
  <c r="D22" i="6"/>
  <c r="D7" i="7" s="1"/>
  <c r="C22" i="6"/>
  <c r="C7" i="7" s="1"/>
  <c r="B22" i="6"/>
  <c r="B7" i="7" s="1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F14" i="11" s="1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C14" i="11" s="1"/>
  <c r="E12" i="6"/>
  <c r="D12" i="6"/>
  <c r="C12" i="6"/>
  <c r="B12" i="6"/>
  <c r="G20" i="7"/>
  <c r="E20" i="7"/>
  <c r="D20" i="7"/>
  <c r="C20" i="7"/>
  <c r="B20" i="7"/>
  <c r="B41" i="8"/>
  <c r="B39" i="8"/>
  <c r="E39" i="8" s="1"/>
  <c r="E34" i="8"/>
  <c r="C34" i="8"/>
  <c r="E31" i="8"/>
  <c r="A42" i="8" s="1"/>
  <c r="C25" i="8"/>
  <c r="C24" i="8"/>
  <c r="C23" i="8"/>
  <c r="B22" i="8"/>
  <c r="C22" i="8" s="1"/>
  <c r="B16" i="8"/>
  <c r="B15" i="8"/>
  <c r="B10" i="8"/>
  <c r="B7" i="8"/>
  <c r="E15" i="7" l="1"/>
  <c r="C18" i="7"/>
  <c r="E18" i="7"/>
  <c r="D18" i="7"/>
  <c r="R8" i="11"/>
  <c r="L8" i="11"/>
  <c r="G21" i="7"/>
  <c r="B21" i="7"/>
  <c r="E11" i="7"/>
  <c r="E10" i="7"/>
  <c r="B18" i="7"/>
  <c r="G18" i="7"/>
  <c r="R14" i="11"/>
  <c r="D8" i="7"/>
  <c r="Q14" i="11"/>
  <c r="C8" i="7"/>
  <c r="P14" i="11"/>
  <c r="E17" i="7"/>
  <c r="E16" i="7"/>
  <c r="D17" i="7"/>
  <c r="O11" i="11"/>
  <c r="D16" i="7"/>
  <c r="C16" i="7"/>
  <c r="N11" i="11"/>
  <c r="C17" i="7"/>
  <c r="B16" i="7"/>
  <c r="G17" i="7"/>
  <c r="M11" i="11"/>
  <c r="B17" i="7"/>
  <c r="G16" i="7"/>
  <c r="P8" i="11"/>
  <c r="I14" i="11"/>
  <c r="H14" i="11"/>
  <c r="O8" i="11"/>
  <c r="G14" i="11"/>
  <c r="M8" i="11"/>
  <c r="I11" i="11"/>
  <c r="D15" i="7"/>
  <c r="R11" i="11"/>
  <c r="Q11" i="11"/>
  <c r="H11" i="11"/>
  <c r="C15" i="7"/>
  <c r="G15" i="7"/>
  <c r="P11" i="11"/>
  <c r="G11" i="11"/>
  <c r="B15" i="7"/>
  <c r="E12" i="7"/>
  <c r="K5" i="11"/>
  <c r="F8" i="11"/>
  <c r="E13" i="7"/>
  <c r="L14" i="11"/>
  <c r="D8" i="11"/>
  <c r="D12" i="7"/>
  <c r="D13" i="7"/>
  <c r="J5" i="11"/>
  <c r="C8" i="11"/>
  <c r="I5" i="11"/>
  <c r="C13" i="7"/>
  <c r="C12" i="7"/>
  <c r="K14" i="11"/>
  <c r="B12" i="7"/>
  <c r="G5" i="11"/>
  <c r="A8" i="11"/>
  <c r="B13" i="7"/>
  <c r="G12" i="7"/>
  <c r="G13" i="7"/>
  <c r="J14" i="11"/>
  <c r="F11" i="11"/>
  <c r="D11" i="7"/>
  <c r="C11" i="7"/>
  <c r="E11" i="11"/>
  <c r="E14" i="11"/>
  <c r="B11" i="7"/>
  <c r="D14" i="11"/>
  <c r="G11" i="7"/>
  <c r="D11" i="11"/>
  <c r="D10" i="7"/>
  <c r="C11" i="11"/>
  <c r="C10" i="7"/>
  <c r="B11" i="11"/>
  <c r="G10" i="7"/>
  <c r="A11" i="11"/>
  <c r="B10" i="7"/>
  <c r="J8" i="11"/>
  <c r="L11" i="11"/>
  <c r="I8" i="11"/>
  <c r="K11" i="11"/>
  <c r="B14" i="11"/>
  <c r="G8" i="11"/>
  <c r="J11" i="11"/>
  <c r="A14" i="11"/>
  <c r="E25" i="8"/>
  <c r="D25" i="8"/>
  <c r="B13" i="8"/>
  <c r="B12" i="8"/>
  <c r="B14" i="8"/>
  <c r="E24" i="8"/>
  <c r="D24" i="8"/>
  <c r="E23" i="8"/>
  <c r="D23" i="8"/>
  <c r="E22" i="8"/>
  <c r="D22" i="8"/>
  <c r="B8" i="7" l="1"/>
  <c r="G8" i="7"/>
</calcChain>
</file>

<file path=xl/sharedStrings.xml><?xml version="1.0" encoding="utf-8"?>
<sst xmlns="http://schemas.openxmlformats.org/spreadsheetml/2006/main" count="563" uniqueCount="452">
  <si>
    <t>Column1.date</t>
  </si>
  <si>
    <t>Column1.symbol</t>
  </si>
  <si>
    <t>Column1.reportedCurrency</t>
  </si>
  <si>
    <t>Column1.cik</t>
  </si>
  <si>
    <t>Column1.filingDate</t>
  </si>
  <si>
    <t>Column1.acceptedDate</t>
  </si>
  <si>
    <t>Column1.fiscalYear</t>
  </si>
  <si>
    <t>Column1.period</t>
  </si>
  <si>
    <t>Column1.revenue</t>
  </si>
  <si>
    <t>Column1.costOfRevenue</t>
  </si>
  <si>
    <t>Column1.grossProfit</t>
  </si>
  <si>
    <t>Column1.researchAndDevelopmentExpenses</t>
  </si>
  <si>
    <t>Column1.generalAndAdministrativeExpenses</t>
  </si>
  <si>
    <t>Column1.sellingAndMarketingExpenses</t>
  </si>
  <si>
    <t>Column1.sellingGeneralAndAdministrativeExpenses</t>
  </si>
  <si>
    <t>Column1.otherExpenses</t>
  </si>
  <si>
    <t>Column1.operatingExpenses</t>
  </si>
  <si>
    <t>Column1.costAndExpenses</t>
  </si>
  <si>
    <t>Column1.netInterestIncome</t>
  </si>
  <si>
    <t>Column1.interestIncome</t>
  </si>
  <si>
    <t>Column1.interestExpense</t>
  </si>
  <si>
    <t>Column1.depreciationAndAmortization</t>
  </si>
  <si>
    <t>Column1.ebitda</t>
  </si>
  <si>
    <t>Column1.ebit</t>
  </si>
  <si>
    <t>Column1.nonOperatingIncomeExcludingInterest</t>
  </si>
  <si>
    <t>Column1.operatingIncome</t>
  </si>
  <si>
    <t>Column1.totalOtherIncomeExpensesNet</t>
  </si>
  <si>
    <t>Column1.incomeBeforeTax</t>
  </si>
  <si>
    <t>Column1.incomeTaxExpense</t>
  </si>
  <si>
    <t>Column1.netIncomeFromContinuingOperations</t>
  </si>
  <si>
    <t>Column1.netIncomeFromDiscontinuedOperations</t>
  </si>
  <si>
    <t>Column1.otherAdjustmentsToNetIncome</t>
  </si>
  <si>
    <t>Column1.netIncome</t>
  </si>
  <si>
    <t>Column1.netIncomeDeductions</t>
  </si>
  <si>
    <t>Column1.bottomLineNetIncome</t>
  </si>
  <si>
    <t>Column1.eps</t>
  </si>
  <si>
    <t>Column1.epsDiluted</t>
  </si>
  <si>
    <t>Column1.weightedAverageShsOut</t>
  </si>
  <si>
    <t>Column1.weightedAverageShsOutDil</t>
  </si>
  <si>
    <t>2026-06-30</t>
  </si>
  <si>
    <t>MSFT</t>
  </si>
  <si>
    <t>USD</t>
  </si>
  <si>
    <t>0000789019</t>
  </si>
  <si>
    <t>2026-07-29</t>
  </si>
  <si>
    <t>2026-07-29 16:08:01</t>
  </si>
  <si>
    <t>2026</t>
  </si>
  <si>
    <t>Q4</t>
  </si>
  <si>
    <t>2026-03-31</t>
  </si>
  <si>
    <t>2026-04-29</t>
  </si>
  <si>
    <t>2026-04-29 16:06:24</t>
  </si>
  <si>
    <t>Q3</t>
  </si>
  <si>
    <t>2025-12-31</t>
  </si>
  <si>
    <t>2026-01-28</t>
  </si>
  <si>
    <t>2026-01-28 16:07:34</t>
  </si>
  <si>
    <t>Q2</t>
  </si>
  <si>
    <t>2025-09-30</t>
  </si>
  <si>
    <t>2025-10-29</t>
  </si>
  <si>
    <t>2025-10-29 16:10:48</t>
  </si>
  <si>
    <t>Q1</t>
  </si>
  <si>
    <t>Column1.cashAndCashEquivalents</t>
  </si>
  <si>
    <t>Column1.shortTermInvestments</t>
  </si>
  <si>
    <t>Column1.cashAndShortTermInvestments</t>
  </si>
  <si>
    <t>Column1.netReceivables</t>
  </si>
  <si>
    <t>Column1.accountsReceivables</t>
  </si>
  <si>
    <t>Column1.otherReceivables</t>
  </si>
  <si>
    <t>Column1.inventory</t>
  </si>
  <si>
    <t>Column1.prepaids</t>
  </si>
  <si>
    <t>Column1.otherCurrentAssets</t>
  </si>
  <si>
    <t>Column1.totalCurrentAssets</t>
  </si>
  <si>
    <t>Column1.propertyPlantEquipmentNet</t>
  </si>
  <si>
    <t>Column1.goodwill</t>
  </si>
  <si>
    <t>Column1.intangibleAssets</t>
  </si>
  <si>
    <t>Column1.goodwillAndIntangibleAssets</t>
  </si>
  <si>
    <t>Column1.longTermInvestments</t>
  </si>
  <si>
    <t>Column1.taxAssets</t>
  </si>
  <si>
    <t>Column1.otherNonCurrentAssets</t>
  </si>
  <si>
    <t>Column1.totalNonCurrentAssets</t>
  </si>
  <si>
    <t>Column1.otherAssets</t>
  </si>
  <si>
    <t>Column1.totalAssets</t>
  </si>
  <si>
    <t>Column1.totalPayables</t>
  </si>
  <si>
    <t>Column1.accountPayables</t>
  </si>
  <si>
    <t>Column1.otherPayables</t>
  </si>
  <si>
    <t>Column1.accruedExpenses</t>
  </si>
  <si>
    <t>Column1.shortTermDebt</t>
  </si>
  <si>
    <t>Column1.capitalLeaseObligationsCurrent</t>
  </si>
  <si>
    <t>Column1.taxPayables</t>
  </si>
  <si>
    <t>Column1.deferredRevenue</t>
  </si>
  <si>
    <t>Column1.otherCurrentLiabilities</t>
  </si>
  <si>
    <t>Column1.totalCurrentLiabilities</t>
  </si>
  <si>
    <t>Column1.longTermDebt</t>
  </si>
  <si>
    <t>Column1.capitalLeaseObligationsNonCurrent</t>
  </si>
  <si>
    <t>Column1.deferredRevenueNonCurrent</t>
  </si>
  <si>
    <t>Column1.deferredTaxLiabilitiesNonCurrent</t>
  </si>
  <si>
    <t>Column1.otherNonCurrentLiabilities</t>
  </si>
  <si>
    <t>Column1.totalNonCurrentLiabilities</t>
  </si>
  <si>
    <t>Column1.otherLiabilities</t>
  </si>
  <si>
    <t>Column1.capitalLeaseObligations</t>
  </si>
  <si>
    <t>Column1.totalLiabilities</t>
  </si>
  <si>
    <t>Column1.treasuryStock</t>
  </si>
  <si>
    <t>Column1.preferredStock</t>
  </si>
  <si>
    <t>Column1.commonStock</t>
  </si>
  <si>
    <t>Column1.retainedEarnings</t>
  </si>
  <si>
    <t>Column1.additionalPaidInCapital</t>
  </si>
  <si>
    <t>Column1.accumulatedOtherComprehensiveIncomeLoss</t>
  </si>
  <si>
    <t>Column1.otherTotalStockholdersEquity</t>
  </si>
  <si>
    <t>Column1.totalStockholdersEquity</t>
  </si>
  <si>
    <t>Column1.totalEquity</t>
  </si>
  <si>
    <t>Column1.minorityInterest</t>
  </si>
  <si>
    <t>Column1.totalLiabilitiesAndTotalEquity</t>
  </si>
  <si>
    <t>Column1.totalInvestments</t>
  </si>
  <si>
    <t>Column1.totalDebt</t>
  </si>
  <si>
    <t>Column1.netDebt</t>
  </si>
  <si>
    <t>Column1.deferredIncomeTax</t>
  </si>
  <si>
    <t>Column1.stockBasedCompensation</t>
  </si>
  <si>
    <t>Column1.changeInWorkingCapital</t>
  </si>
  <si>
    <t>Column1.accountsPayables</t>
  </si>
  <si>
    <t>Column1.otherWorkingCapital</t>
  </si>
  <si>
    <t>Column1.otherNonCashItems</t>
  </si>
  <si>
    <t>Column1.netCashProvidedByOperatingActivities</t>
  </si>
  <si>
    <t>Column1.investmentsInPropertyPlantAndEquipment</t>
  </si>
  <si>
    <t>Column1.acquisitionsNet</t>
  </si>
  <si>
    <t>Column1.purchasesOfInvestments</t>
  </si>
  <si>
    <t>Column1.salesMaturitiesOfInvestments</t>
  </si>
  <si>
    <t>Column1.otherInvestingActivities</t>
  </si>
  <si>
    <t>Column1.netCashProvidedByInvestingActivities</t>
  </si>
  <si>
    <t>Column1.netDebtIssuance</t>
  </si>
  <si>
    <t>Column1.longTermNetDebtIssuance</t>
  </si>
  <si>
    <t>Column1.shortTermNetDebtIssuance</t>
  </si>
  <si>
    <t>Column1.netStockIssuance</t>
  </si>
  <si>
    <t>Column1.netCommonStockIssuance</t>
  </si>
  <si>
    <t>Column1.commonStockIssuance</t>
  </si>
  <si>
    <t>Column1.commonStockRepurchased</t>
  </si>
  <si>
    <t>Column1.netPreferredStockIssuance</t>
  </si>
  <si>
    <t>Column1.netDividendsPaid</t>
  </si>
  <si>
    <t>Column1.commonDividendsPaid</t>
  </si>
  <si>
    <t>Column1.preferredDividendsPaid</t>
  </si>
  <si>
    <t>Column1.otherFinancingActivities</t>
  </si>
  <si>
    <t>Column1.netCashProvidedByFinancingActivities</t>
  </si>
  <si>
    <t>Column1.effectOfForexChangesOnCash</t>
  </si>
  <si>
    <t>Column1.netChangeInCash</t>
  </si>
  <si>
    <t>Column1.cashAtEndOfPeriod</t>
  </si>
  <si>
    <t>Column1.cashAtBeginningOfPeriod</t>
  </si>
  <si>
    <t>Column1.operatingCashFlow</t>
  </si>
  <si>
    <t>Column1.capitalExpenditure</t>
  </si>
  <si>
    <t>Column1.freeCashFlow</t>
  </si>
  <si>
    <t>Column1.incomeTaxesPaid</t>
  </si>
  <si>
    <t>Column1.interestPaid</t>
  </si>
  <si>
    <t>⚙️  SETUP — AF_Acciones Template (US Stocks)</t>
  </si>
  <si>
    <t>Fill the GREEN cells before using. Power Query reads this sheet automatically.</t>
  </si>
  <si>
    <t>🔑  FINANCIAL MODELING PREP (FMP) — US Stocks</t>
  </si>
  <si>
    <t>FMP API Key</t>
  </si>
  <si>
    <t>⚠️  Paste your key from financialmodelingprep.com/dashboard</t>
  </si>
  <si>
    <t>Ticker (US company)</t>
  </si>
  <si>
    <t>Number of quarters</t>
  </si>
  <si>
    <t>4</t>
  </si>
  <si>
    <t>Max 5 on the free FMP plan</t>
  </si>
  <si>
    <t>📋  HOW TO USE POWER QUERY (US stocks)</t>
  </si>
  <si>
    <t>1. Paste your API Key in the green cell B5 of this sheet.</t>
  </si>
  <si>
    <t>2. Enter the US ticker in the green cell B6 (e.g.: ADBE).</t>
  </si>
  <si>
    <t>3. Go to Data → Queries &amp; Connections → right-click each query → Refresh.</t>
  </si>
  <si>
    <t>4. Data will populate automatically in the FMP_Data sheet.</t>
  </si>
  <si>
    <t>5. The Input_Data sheet pulls values from FMP_Data via formulas.</t>
  </si>
  <si>
    <t>6. Go to Analysis to read the traffic-light signals.</t>
  </si>
  <si>
    <t>📡  FMP DATA — Populated automatically by Power Query</t>
  </si>
  <si>
    <t>DO NOT edit this sheet manually. Use Data → Refresh All to update.</t>
  </si>
  <si>
    <t>⚡ POWER QUERY: Data → Get Data → From Web → paste the URL below with your API key. Repeat for Income Statement, Balance Sheet and Cash Flow.</t>
  </si>
  <si>
    <t>Income Statement (4 quarters):</t>
  </si>
  <si>
    <t>Balance Sheet (4 quarters):</t>
  </si>
  <si>
    <t>Cash Flow (4 quarters):</t>
  </si>
  <si>
    <t>Current Price:</t>
  </si>
  <si>
    <t>Field</t>
  </si>
  <si>
    <t>Q1 (most recent)</t>
  </si>
  <si>
    <t>FMP Source</t>
  </si>
  <si>
    <t>date (quarter end date)</t>
  </si>
  <si>
    <t>revenue (Total Revenue)</t>
  </si>
  <si>
    <t>costOfRevenue (Cost of Revenue)</t>
  </si>
  <si>
    <t>grossProfit (Gross Profit)</t>
  </si>
  <si>
    <t>operatingExpenses (Operating Expense)</t>
  </si>
  <si>
    <t>ebitda (EBITDA)</t>
  </si>
  <si>
    <t>operatingIncome (EBIT / Operating Income)</t>
  </si>
  <si>
    <t>interestExpense (Interest Expense)</t>
  </si>
  <si>
    <t>incomeBeforeTax (Pretax Income / EBT)</t>
  </si>
  <si>
    <t>incomeTaxExpense (Tax Provision)</t>
  </si>
  <si>
    <t>netIncome (Net Income)</t>
  </si>
  <si>
    <t>eps (Diluted EPS)</t>
  </si>
  <si>
    <t>dividendsPaid (Dividends Paid) [Cash Flow]</t>
  </si>
  <si>
    <t>capitalExpenditure (CAPEX) [Cash Flow]</t>
  </si>
  <si>
    <t>operatingCashFlow (CFO) [Cash Flow]</t>
  </si>
  <si>
    <t>freeCashFlow (FCF) [Cash Flow]</t>
  </si>
  <si>
    <t>cashAndCashEquivalents (Cash) [Balance]</t>
  </si>
  <si>
    <t>totalCurrentAssets [Balance]</t>
  </si>
  <si>
    <t>totalAssets [Balance]</t>
  </si>
  <si>
    <t>totalCurrentLiabilities [Balance]</t>
  </si>
  <si>
    <t>totalDebt [Balance]</t>
  </si>
  <si>
    <t>totalLiabilities [Balance]</t>
  </si>
  <si>
    <t>totalStockholdersEquity (Common Stock Equity) [Balance]</t>
  </si>
  <si>
    <t>weightedAverageShsOutDil (Shares Outstanding) [IS]</t>
  </si>
  <si>
    <t>📊  FINANCIAL ANALYSIS — INPUT DATA (Stocks)</t>
  </si>
  <si>
    <t>FIELD</t>
  </si>
  <si>
    <t>Q4 (oldest)</t>
  </si>
  <si>
    <t>📅 Quarter end date</t>
  </si>
  <si>
    <t>GENERAL INFORMATION</t>
  </si>
  <si>
    <t>Company Name</t>
  </si>
  <si>
    <t>Microsoft Corporation</t>
  </si>
  <si>
    <t>Ticker / Symbol</t>
  </si>
  <si>
    <t>US</t>
  </si>
  <si>
    <t>Share Price (USD or MXN)
→ Update manually each quarter · stockanalysis.com</t>
  </si>
  <si>
    <t>Shares Outstanding</t>
  </si>
  <si>
    <t>📋 INCOME STATEMENT</t>
  </si>
  <si>
    <t>Total Revenue / Net Sales</t>
  </si>
  <si>
    <t>Cost of Revenue (COGS)</t>
  </si>
  <si>
    <t>Gross Profit</t>
  </si>
  <si>
    <t>Operating Expense (SG&amp;A + R&amp;D)</t>
  </si>
  <si>
    <t>EBITDA</t>
  </si>
  <si>
    <t>EBIT / Operating Income</t>
  </si>
  <si>
    <t>Interest Expense</t>
  </si>
  <si>
    <t>Pretax Income (EBT)</t>
  </si>
  <si>
    <t>Tax Provision</t>
  </si>
  <si>
    <t>Net Income</t>
  </si>
  <si>
    <t>Diluted EPS</t>
  </si>
  <si>
    <t>Dividend Per Share
→ Yahoo Finance → Statistics</t>
  </si>
  <si>
    <t>🏦 BALANCE SHEET</t>
  </si>
  <si>
    <t>Cash &amp; Cash Equivalents</t>
  </si>
  <si>
    <t>Total Current Assets</t>
  </si>
  <si>
    <t>Total Assets</t>
  </si>
  <si>
    <t>Total Current Liabilities</t>
  </si>
  <si>
    <t>Total Debt (ST + LT)</t>
  </si>
  <si>
    <t>Total Liabilities</t>
  </si>
  <si>
    <t>Common Stock Equity</t>
  </si>
  <si>
    <t>Book Value Per Share</t>
  </si>
  <si>
    <t>💵 CASH FLOW STATEMENT</t>
  </si>
  <si>
    <t>Operating Cash Flow (CFO)</t>
  </si>
  <si>
    <t>Capital Expenditure (CAPEX)</t>
  </si>
  <si>
    <t>Free Cash Flow (FCF = CFO − CAPEX)</t>
  </si>
  <si>
    <t>Dividends Paid</t>
  </si>
  <si>
    <t>Share Buybacks</t>
  </si>
  <si>
    <t>📈  FINANCIAL RATIO ANALYSIS</t>
  </si>
  <si>
    <t>Ratios calculate automatically from Input_Data. Refresh Power Query to update.</t>
  </si>
  <si>
    <t>🟢 GOOD = Healthy   🟡 REVIEW = Caution   🔴 ALERT = Risk   ⚪ N/A = No data   (Traffic light based on Q1 — most recent quarter)</t>
  </si>
  <si>
    <t>RATIO</t>
  </si>
  <si>
    <t>Q1 (latest)</t>
  </si>
  <si>
    <t>INTERPRETATION</t>
  </si>
  <si>
    <t>SIGNAL</t>
  </si>
  <si>
    <t>📅 Reference date</t>
  </si>
  <si>
    <t>── VALUATION  (Is the stock expensive?) ──</t>
  </si>
  <si>
    <t>P/E — Price / Earnings</t>
  </si>
  <si>
    <t>Years to recoup from earnings. &lt;15x cheap · 15-25x fair · &gt;25x expensive.</t>
  </si>
  <si>
    <t>P/B — Price / Book Value</t>
  </si>
  <si>
    <t>&lt;1x cheap · 1-3x normal · &gt;3x expensive or intangibles-heavy.</t>
  </si>
  <si>
    <t>── PROFITABILITY  (Does it make money?) ──</t>
  </si>
  <si>
    <t>Gross Margin</t>
  </si>
  <si>
    <t>Higher = more efficient. Tech &gt;60% · Industrial &gt;30% · Retail ~25%.</t>
  </si>
  <si>
    <t>Operating Margin (EBIT / Revenue)</t>
  </si>
  <si>
    <t>Core profitability. &gt;15% good · 8-15% normal · &lt;8% alert.</t>
  </si>
  <si>
    <t>Net Margin</t>
  </si>
  <si>
    <t>What remains per $100 of revenue. &gt;10% good · 5-10% normal · &lt;5% alert.</t>
  </si>
  <si>
    <t>ROE — Return on Equity</t>
  </si>
  <si>
    <t>Returns on shareholders' capital. &gt;15% excellent · 10-15% good · &lt;10% review.</t>
  </si>
  <si>
    <t>── DEBT &amp; SOLVENCY  (Can it pay what it owes?) ──</t>
  </si>
  <si>
    <t>Current Ratio</t>
  </si>
  <si>
    <t>Short-term liquidity. &gt;2x comfortable · 1-2x normal · &lt;1x risk.</t>
  </si>
  <si>
    <t>Debt / Equity</t>
  </si>
  <si>
    <t>&lt;0.5x very healthy · 0.5-1.5x normal · &gt;1.5x leveraged.</t>
  </si>
  <si>
    <t>Debt / EBITDA</t>
  </si>
  <si>
    <t>Years to repay debt from EBITDA. &lt;2x excellent · 2-4x normal · &gt;5x alert.</t>
  </si>
  <si>
    <t>Interest Coverage (EBIT / Interest)</t>
  </si>
  <si>
    <t>&gt;3x comfortable · 1.5-3x tight · &lt;1.5x dangerous.</t>
  </si>
  <si>
    <t>── DIVIDENDS &amp; CASH  (Does it generate and share cash?) ──</t>
  </si>
  <si>
    <t>Dividend Yield</t>
  </si>
  <si>
    <t>Annual return via dividend. 2-5% attractive. &gt;7% may signal risk.</t>
  </si>
  <si>
    <t>FCF Yield (Free Cash / Market Cap)</t>
  </si>
  <si>
    <t>Free cash as % of market cap. &gt;5% very attractive · 2-5% normal · &lt;2% alert.</t>
  </si>
  <si>
    <t>⚠️  Signals are general guides. Always benchmark vs the sector. A P/E of 30x can be fair in tech but expensive in consumer staples.</t>
  </si>
  <si>
    <t>📊  MY POSITION IN MSFT — Personal Analysis</t>
  </si>
  <si>
    <t>🟡 YELLOW = update manually  ·  🔵 BLUE = auto-calculated  ·  Source: stockanalysis.com/msft</t>
  </si>
  <si>
    <t>🛒  MY PURCHASES IN MSFT</t>
  </si>
  <si>
    <t>VALUE</t>
  </si>
  <si>
    <t>NOTE</t>
  </si>
  <si>
    <t>Avg Purchase Price (USD)
→ From your GBM transaction history</t>
  </si>
  <si>
    <t>Your weighted average cost across all purchases</t>
  </si>
  <si>
    <t>Number of Shares
→ From your GBM account</t>
  </si>
  <si>
    <t>Total shares in your portfolio</t>
  </si>
  <si>
    <t>Total Investment Cost (USD)
(auto-calculated)</t>
  </si>
  <si>
    <t>Your total investment in this asset</t>
  </si>
  <si>
    <t>💹  CURRENT PRICE (update each time you analyse)</t>
  </si>
  <si>
    <t>Current Price per Share (USD)
→ stockanalysis.com/msft → live price</t>
  </si>
  <si>
    <t>Update this price each time you analyse MSFT</t>
  </si>
  <si>
    <t>Current Position Value (USD)
(auto-calculated)</t>
  </si>
  <si>
    <t>Current market value of your shares</t>
  </si>
  <si>
    <t>📈  GAIN / LOSS</t>
  </si>
  <si>
    <t>Total Gain / Loss (USD)</t>
  </si>
  <si>
    <t>Positive = unrealised gain · Negative = unrealised loss</t>
  </si>
  <si>
    <t>Return (%)</t>
  </si>
  <si>
    <t>Your return on initial investment</t>
  </si>
  <si>
    <t>Gain / Loss per Share (USD)</t>
  </si>
  <si>
    <t>How much you gain or lose per share</t>
  </si>
  <si>
    <t>Have I recouped my investment?</t>
  </si>
  <si>
    <t>Compares current price vs your average purchase price</t>
  </si>
  <si>
    <t>Dividendo anual recibido (USD)
(con 3 acciones)</t>
  </si>
  <si>
    <t>Annual dividend of $3.64 per share × your 3 shares</t>
  </si>
  <si>
    <t>🔬  ANALYST OPINION (additional context — not a guarantee)</t>
  </si>
  <si>
    <t>Analyst Recommendation
→ stockanalysis.com → 'Analysts' tab</t>
  </si>
  <si>
    <t>Strong Buy</t>
  </si>
  <si>
    <t>Institutional analyst consensus. Not a guarantee — context only.</t>
  </si>
  <si>
    <t>Analyst Price Target (USD)
→ stockanalysis.com → 'Price Target'</t>
  </si>
  <si>
    <t>Implied upside potential: 15.0% from current price. Update each quarter.</t>
  </si>
  <si>
    <t>⏱️  RULE OF 72 — Growth projections</t>
  </si>
  <si>
    <t>SCENARIO</t>
  </si>
  <si>
    <t>ANNUAL RATE</t>
  </si>
  <si>
    <t>YEARS TO DOUBLE</t>
  </si>
  <si>
    <t>Actual return on your purchase to date</t>
  </si>
  <si>
    <t>Base scenario (10%/yr)</t>
  </si>
  <si>
    <t>Conservative scenario (7%/yr)</t>
  </si>
  <si>
    <t>🎯  BUY ZONE — When is it attractive to buy more MSFT?</t>
  </si>
  <si>
    <t>🟡 Update yellow cells each month or quarter  ·  stockanalysis.com/msft has everything on one screen</t>
  </si>
  <si>
    <t>DATA FIELD / EXACT SOURCE</t>
  </si>
  <si>
    <t>CURRENT VALUE
(🟡 you fill this in)</t>
  </si>
  <si>
    <t>ATTRACTIVE ZONE</t>
  </si>
  <si>
    <t>EXPENSIVE ZONE</t>
  </si>
  <si>
    <t>── 1. P/E RATIO — Is the stock expensive? ──</t>
  </si>
  <si>
    <t>P/E (TTM)
→ stockanalysis.com/msft → 'PE Ratio (TTM)'</t>
  </si>
  <si>
    <t>&lt; 22.0x  (annual low)</t>
  </si>
  <si>
    <t>&gt; 38.0x  (annual high)</t>
  </si>
  <si>
    <t>Forward P/E (next 12 months)
→ stockanalysis.com → 'Forward PE'</t>
  </si>
  <si>
    <t>Forward P/E uses estimated future earnings — more relevant than TTM for growth companies. Lower Forward P/E = market expects earnings to grow.</t>
  </si>
  <si>
    <t>Historical Avg P/E
→ stockanalysis.com/stocks/msft/financials/ → 'PE Ratio' column → average last 5 fiscal years manually</t>
  </si>
  <si>
    <t>Average the 'PE Ratio' column for the last 5 fiscal years at stockanalysis.com/stocks/msft/financials/</t>
  </si>
  <si>
    <t>📊 P/E vs. Historical Average
(premium or discount vs own history)</t>
  </si>
  <si>
    <t>P/B (Price / Book)
→ stockanalysis.com → Statistics → 'P/B Ratio'</t>
  </si>
  <si>
    <t>&lt; 1.5x  (cheap vs book value)</t>
  </si>
  <si>
    <t>&gt; 5.0x  (expensive — normal in tech)</t>
  </si>
  <si>
    <t>── 2. PRICE IN ANNUAL RANGE ──</t>
  </si>
  <si>
    <t>52-Week Low (USD)
→ stockanalysis.com/msft → '52-Week Range'</t>
  </si>
  <si>
    <t>Buying near this price = attractive zone</t>
  </si>
  <si>
    <t>🟢 Low zone</t>
  </si>
  <si>
    <t>52-Week High (USD)
→ stockanalysis.com/msft → '52-Week Range'</t>
  </si>
  <si>
    <t>Avoid buying near this price</t>
  </si>
  <si>
    <t>🔴 High zone</t>
  </si>
  <si>
    <t>% Position in annual range
(0% = low · 100% = high)</t>
  </si>
  <si>
    <t>&lt; 33%  → lower third (attractive)</t>
  </si>
  <si>
    <t>&gt; 67%  → upper third (expensive)</t>
  </si>
  <si>
    <t>── 3. TARGET PRICE ──</t>
  </si>
  <si>
    <t>Target Entry Price (USD)
Formula: current price × (historical P/E ÷ current P/E)
= price if P/E reverted to its 5yr average</t>
  </si>
  <si>
    <t>⚠️  This price is NOT VALID until you fill in the historical P/E above. Once filled, the target price calculates automatically.</t>
  </si>
  <si>
    <t>CONCLUSION</t>
  </si>
  <si>
    <t>📌 Update current price, P/E, Forward P/E and 52W range each month or quarter. stockanalysis.com/msft has everything on one screen. The target price is a reference — not a guarantee of future returns.</t>
  </si>
  <si>
    <t>🔍  SECTOR BENCHMARK</t>
  </si>
  <si>
    <t>Enter data from the most recent quarter for each company. Sources: Yahoo Finance, Macrotrends, FMP.</t>
  </si>
  <si>
    <t>RATIO / METRIC</t>
  </si>
  <si>
    <t>Company 1 (main)</t>
  </si>
  <si>
    <t>WINNER?</t>
  </si>
  <si>
    <t>Ticker / Name</t>
  </si>
  <si>
    <t>—</t>
  </si>
  <si>
    <t>── VALUATION ──</t>
  </si>
  <si>
    <t>P/E — Price/Earnings (x)</t>
  </si>
  <si>
    <t>P/B — Price/Book Value (x)</t>
  </si>
  <si>
    <t>── PROFITABILITY ──</t>
  </si>
  <si>
    <t>Gross Margin (%)</t>
  </si>
  <si>
    <t>Operating Margin (%)</t>
  </si>
  <si>
    <t>Net Margin (%)</t>
  </si>
  <si>
    <t>ROE — Return on Equity (%)</t>
  </si>
  <si>
    <t>── DEBT ──</t>
  </si>
  <si>
    <t>Current Ratio (x)</t>
  </si>
  <si>
    <t>Debt/EBITDA (x)</t>
  </si>
  <si>
    <t>Debt/Equity (x)</t>
  </si>
  <si>
    <t>── DIVIDENDS &amp; CASH ──</t>
  </si>
  <si>
    <t>Dividend Yield (%)</t>
  </si>
  <si>
    <t>FCF Yield (%)</t>
  </si>
  <si>
    <t>── GROWTH ──</t>
  </si>
  <si>
    <t>Revenue Growth YoY (%)</t>
  </si>
  <si>
    <t>Net Income Growth YoY (%)</t>
  </si>
  <si>
    <t>🟡 YELLOW cells = enter the most recent Q data for each company · Sources: Yahoo Finance, Macrotrends.net, FMP</t>
  </si>
  <si>
    <t>📖  USER GUIDE — AF_Acciones Template</t>
  </si>
  <si>
    <t>STEP</t>
  </si>
  <si>
    <t>WHAT TO DO</t>
  </si>
  <si>
    <t>1. Set up FMP</t>
  </si>
  <si>
    <t>Go to Setup sheet → paste your API Key in B5 → enter the US ticker in B6.</t>
  </si>
  <si>
    <t>2. Refresh Power Query</t>
  </si>
  <si>
    <t>Data → Queries &amp; Connections → right-click each query → Refresh. Data populates FMP_Data automatically.</t>
  </si>
  <si>
    <t>3. For MX stocks</t>
  </si>
  <si>
    <t>Fill Input_Data manually from Yahoo Finance (ticker.MX) or BMV. Yellow cells = manual entry.</t>
  </si>
  <si>
    <t>4. Read Analysis</t>
  </si>
  <si>
    <t>🟢 GOOD · 🟡 REVIEW · 🔴 ALERT. Traffic light based on Q1 — most recent quarter.</t>
  </si>
  <si>
    <t>5. Benchmark</t>
  </si>
  <si>
    <t>Fill Sector_Benchmark with the same ratios for 2 competitors in the sector.</t>
  </si>
  <si>
    <t>6. Save</t>
  </si>
  <si>
    <t>US SOURCES</t>
  </si>
  <si>
    <t>financialmodelingprep.com (FMP) · SEC EDGAR (edgar.sec.gov) · stockanalysis.com · Yahoo Finance</t>
  </si>
  <si>
    <t>MX SOURCES</t>
  </si>
  <si>
    <t>KEY RATIOS</t>
  </si>
  <si>
    <t>P/E Ratio</t>
  </si>
  <si>
    <t>Years to recoup from earnings. &lt;15x cheap · &gt;25x expensive.</t>
  </si>
  <si>
    <t>P/B Ratio</t>
  </si>
  <si>
    <t>Price vs book value. &lt;1x technically cheap.</t>
  </si>
  <si>
    <t>Operating Margin</t>
  </si>
  <si>
    <t>Core profitability. &gt;15% good for most sectors.</t>
  </si>
  <si>
    <t>ROE</t>
  </si>
  <si>
    <t>&gt;15% excellent. How well it uses shareholders' capital.</t>
  </si>
  <si>
    <t>Debt/EBITDA</t>
  </si>
  <si>
    <t>&lt;2x excellent. &gt;5x over-leverage alert.</t>
  </si>
  <si>
    <t>FCF Yield</t>
  </si>
  <si>
    <t>&gt;5% very attractive. Free cash as % of price.</t>
  </si>
  <si>
    <t>2-5% attractive. &gt;7% may signal a cut risk.</t>
  </si>
  <si>
    <t>🔬  DuPont Ratio Pyramid — Microsoft Corporation (MSFT)</t>
  </si>
  <si>
    <t>ROE = Net Margin × Asset Turnover × Financial Leverage   ·   All values from Input_Data   ·   Q1 = most recent</t>
  </si>
  <si>
    <t>Each box shows 4 quarters: Q1 (latest) | Q2 | Q3 | Q4 (oldest)</t>
  </si>
  <si>
    <t>NET MARGIN  =  Net Income ÷ Revenue</t>
  </si>
  <si>
    <t>ASSET TURNOVER  =  Revenue ÷ Total Assets</t>
  </si>
  <si>
    <t>FINANCIAL LEVERAGE  =  Assets ÷ Equity</t>
  </si>
  <si>
    <t>GROSS MARGIN</t>
  </si>
  <si>
    <t>OPERATING MARGIN</t>
  </si>
  <si>
    <t>CURRENT ASSETS / REV</t>
  </si>
  <si>
    <t>INVENTORY TURNOVER</t>
  </si>
  <si>
    <t>DEBT / EQUITY</t>
  </si>
  <si>
    <t>CURRENT RATIO</t>
  </si>
  <si>
    <t>REVENUE</t>
  </si>
  <si>
    <t>COGS</t>
  </si>
  <si>
    <t>EBIT</t>
  </si>
  <si>
    <t>INTEREST</t>
  </si>
  <si>
    <t>TOTAL ASSETS</t>
  </si>
  <si>
    <t>NET INCOME</t>
  </si>
  <si>
    <t>TOTAL LIABILITIES</t>
  </si>
  <si>
    <t>COMMON EQUITY</t>
  </si>
  <si>
    <t>USD values = billions (B)  ·  Net Margin × Asset Turnover × Financial Leverage = ROE  ·  Refresh Power Query to update</t>
  </si>
  <si>
    <t>WHAT DRIVES MSFT'S ROE?</t>
  </si>
  <si>
    <t>High Net Margin (~40%)</t>
  </si>
  <si>
    <t>Microsoft's cloud and software licensing model generates very high margins with low incremental cost per unit sold. This is the PRIMARY driver of its ROE.</t>
  </si>
  <si>
    <t>Low Asset Turnover (~0.12x)</t>
  </si>
  <si>
    <t>MSFT has a massive asset base (cloud infrastructure, data centres, Activision goodwill). It generates less revenue per dollar of assets than pure-software peers — a natural trade-off for infrastructure scale.</t>
  </si>
  <si>
    <t>Moderate Leverage (~1.7x)</t>
  </si>
  <si>
    <t>MSFT is conservatively financed for its size. Leverage is NOT the key driver — improving margins (Azure growth, Copilot monetisation) or asset efficiency would lift ROE without added risk.</t>
  </si>
  <si>
    <t>Reference: S&amp;P 500 average annual return (10 years)
→ This 15% is the historical return of the INDEX, not the P/E
→ Use it to compare how much your money could grow if it were in VOO</t>
  </si>
  <si>
    <t>VALUE IN 5 YEARS (USD)</t>
  </si>
  <si>
    <t>VALUE IN 10 YEARS (USD)</t>
  </si>
  <si>
    <t>🟡 YELLOW = fill manually · 🔵 BLUE = auto-populated from FMP_Data · Sources: FMP · Yahoo Finance · stockanalysis.com</t>
  </si>
  <si>
    <t>https://financialmodelingprep.com/stable/income-statement?symbol=TICKER&amp;period=quarter&amp;limit=4&amp;apikey=YOUR_KEY</t>
  </si>
  <si>
    <t>https://financialmodelingprep.com/stable/balance-sheet-statement?symbol=TICKER&amp;period=quarter&amp;limit=4&amp;apikey=YOUR_KEY</t>
  </si>
  <si>
    <t>https://financialmodelingprep.com/stable/cash-flow-statement?symbol=TICKER&amp;period=quarter&amp;limit=4&amp;apikey=YOUR_KEY</t>
  </si>
  <si>
    <t>https://financialmodelingprep.com/stable/quote?symbol=TICKER&amp;apikey=YOUR_KEY</t>
  </si>
  <si>
    <t>Replace TICKER with the symbol (e.g.: ADBE) and YOUR_KEY with your FMP API key. After setting up Power Query, this sheet fills automatically.</t>
  </si>
  <si>
    <t>E.g.: MSFT · ADBE · AMZN  (letters only)</t>
  </si>
  <si>
    <t>FOREIGN STOCKS — Manual entry</t>
  </si>
  <si>
    <t xml:space="preserve">For foreign tickers there is no free API. Fill Input_Data manually from Yahoo Finance (e.g: ticker.MX) </t>
  </si>
  <si>
    <t>7. Save the file as: AF_Stocks_TICKER_YYYYMM.xlsx</t>
  </si>
  <si>
    <t>Market (US / MX / other)</t>
  </si>
  <si>
    <t>🔵 BLUE = auto-populated from Power Query (FMP) / or manually · 🟡 YELLOW = fill manually · Share Price always manual · Dividend Per Share manual from Yahoo Finance → Statistics</t>
  </si>
  <si>
    <t>📌 File naming: AF_Stocks_TICKER_YYYYMM.xlsx  E.g.: AF_Stocks_ADBE_202608.xlsx</t>
  </si>
  <si>
    <t>Company 2</t>
  </si>
  <si>
    <t>Company 3</t>
  </si>
  <si>
    <t>Sector Average</t>
  </si>
  <si>
    <t>Use naming convention: AF_Acciones_TICKER_YYYYMM.xlsx  E.g.: AF_Stocks_ADBE_202608.xlsx</t>
  </si>
  <si>
    <t>Yahoo Finance · stockanalysis.com · With your 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</si>
</sst>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[$-409]d\-mmm\-yyyy;@"/>
    <numFmt numFmtId="165" formatCode="0.00\x"/>
    <numFmt numFmtId="166" formatCode="0.0%"/>
    <numFmt numFmtId="167" formatCode="\$#,##0.00"/>
    <numFmt numFmtId="168" formatCode="#,##0.####"/>
    <numFmt numFmtId="169" formatCode="\+0.0%;\-0.0%;0.0%"/>
    <numFmt numFmtId="170" formatCode="0\B"/>
    <numFmt numFmtId="171" formatCode="0.0&quot; years&quot;"/>
    <numFmt numFmtId="172" formatCode="0.0000\x"/>
  </numFmts>
  <fonts count="4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1A1A2E"/>
      <name val="Arial"/>
      <charset val="1"/>
    </font>
    <font>
      <b/>
      <sz val="10"/>
      <color rgb="FF1B5E20"/>
      <name val="Arial"/>
      <charset val="1"/>
    </font>
    <font>
      <i/>
      <sz val="8"/>
      <color rgb="FF888888"/>
      <name val="Arial"/>
      <charset val="1"/>
    </font>
    <font>
      <i/>
      <sz val="8"/>
      <color rgb="FF555555"/>
      <name val="Arial"/>
      <charset val="1"/>
    </font>
    <font>
      <sz val="9"/>
      <color rgb="FF333333"/>
      <name val="Arial"/>
      <charset val="1"/>
    </font>
    <font>
      <i/>
      <sz val="8"/>
      <color rgb="FF0D47A1"/>
      <name val="Arial"/>
      <charset val="1"/>
    </font>
    <font>
      <sz val="8"/>
      <color rgb="FF0000AA"/>
      <name val="Arial"/>
      <charset val="1"/>
    </font>
    <font>
      <b/>
      <sz val="9"/>
      <color rgb="FFFFFFFF"/>
      <name val="Arial"/>
      <charset val="1"/>
    </font>
    <font>
      <sz val="8"/>
      <color rgb="FF1A1A2E"/>
      <name val="Arial"/>
      <charset val="1"/>
    </font>
    <font>
      <b/>
      <sz val="8"/>
      <color rgb="FFFFFFFF"/>
      <name val="Arial"/>
      <charset val="1"/>
    </font>
    <font>
      <sz val="9"/>
      <color rgb="FF1A1A2E"/>
      <name val="Arial"/>
      <charset val="1"/>
    </font>
    <font>
      <sz val="9"/>
      <color rgb="FF0000AA"/>
      <name val="Arial"/>
      <family val="2"/>
      <charset val="1"/>
    </font>
    <font>
      <sz val="9"/>
      <color rgb="FF0000AA"/>
      <name val="Arial"/>
      <charset val="1"/>
    </font>
    <font>
      <i/>
      <sz val="8"/>
      <color rgb="FF1B5E20"/>
      <name val="Arial"/>
      <charset val="1"/>
    </font>
    <font>
      <b/>
      <sz val="9"/>
      <color rgb="FF333333"/>
      <name val="Arial"/>
      <charset val="1"/>
    </font>
    <font>
      <b/>
      <sz val="13"/>
      <color rgb="FFFFFFFF"/>
      <name val="Arial"/>
      <charset val="1"/>
    </font>
    <font>
      <sz val="8"/>
      <color rgb="FFFFFFFF"/>
      <name val="Arial"/>
      <charset val="1"/>
    </font>
    <font>
      <sz val="10"/>
      <color rgb="FF0000AA"/>
      <name val="Arial"/>
      <charset val="1"/>
    </font>
    <font>
      <sz val="8"/>
      <color rgb="FF555555"/>
      <name val="Arial"/>
      <charset val="1"/>
    </font>
    <font>
      <sz val="10"/>
      <color rgb="FF0D47A1"/>
      <name val="Arial"/>
      <charset val="1"/>
    </font>
    <font>
      <sz val="9"/>
      <color rgb="FF0D47A1"/>
      <name val="Arial"/>
      <charset val="1"/>
    </font>
    <font>
      <b/>
      <sz val="10"/>
      <color rgb="FF283593"/>
      <name val="Arial"/>
      <charset val="1"/>
    </font>
    <font>
      <sz val="8"/>
      <color rgb="FF1B5E20"/>
      <name val="Arial"/>
      <charset val="1"/>
    </font>
    <font>
      <sz val="8"/>
      <color rgb="FFB71C1C"/>
      <name val="Arial"/>
      <charset val="1"/>
    </font>
    <font>
      <b/>
      <sz val="9"/>
      <name val="Arial"/>
      <charset val="1"/>
    </font>
    <font>
      <b/>
      <sz val="10"/>
      <color rgb="FF0D47A1"/>
      <name val="Arial"/>
      <charset val="1"/>
    </font>
    <font>
      <sz val="9"/>
      <name val="Arial"/>
      <charset val="1"/>
    </font>
    <font>
      <b/>
      <sz val="9"/>
      <color rgb="FF1B5E20"/>
      <name val="Arial"/>
      <charset val="1"/>
    </font>
    <font>
      <b/>
      <sz val="9"/>
      <color rgb="FFB71C1C"/>
      <name val="Arial"/>
      <charset val="1"/>
    </font>
    <font>
      <b/>
      <sz val="11"/>
      <color rgb="FF0D47A1"/>
      <name val="Arial"/>
      <charset val="1"/>
    </font>
    <font>
      <i/>
      <sz val="8"/>
      <color rgb="FFB71C1C"/>
      <name val="Arial"/>
      <charset val="1"/>
    </font>
    <font>
      <b/>
      <sz val="10"/>
      <name val="Arial"/>
      <charset val="1"/>
    </font>
    <font>
      <b/>
      <sz val="10"/>
      <color rgb="FF0000AA"/>
      <name val="Arial"/>
      <charset val="1"/>
    </font>
    <font>
      <b/>
      <sz val="10"/>
      <color rgb="FF1A1A2E"/>
      <name val="Arial"/>
      <charset val="1"/>
    </font>
    <font>
      <b/>
      <sz val="9"/>
      <color rgb="FF1A5276"/>
      <name val="Arial"/>
      <charset val="1"/>
    </font>
    <font>
      <b/>
      <sz val="12"/>
      <color rgb="FFFFFFFF"/>
      <name val="Arial"/>
      <charset val="1"/>
    </font>
    <font>
      <i/>
      <sz val="8"/>
      <color rgb="FF1A5276"/>
      <name val="Arial"/>
      <charset val="1"/>
    </font>
    <font>
      <b/>
      <sz val="7"/>
      <color rgb="FFFFFFFF"/>
      <name val="Arial"/>
      <charset val="1"/>
    </font>
    <font>
      <sz val="9"/>
      <color rgb="FFFFFFFF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F0F4F8"/>
        <bgColor rgb="FFEBF5FB"/>
      </patternFill>
    </fill>
    <fill>
      <patternFill patternType="solid">
        <fgColor rgb="FFC8E6C9"/>
        <bgColor rgb="FFBBDEFB"/>
      </patternFill>
    </fill>
    <fill>
      <patternFill patternType="solid">
        <fgColor rgb="FF16213E"/>
        <bgColor rgb="FF1A1A2E"/>
      </patternFill>
    </fill>
    <fill>
      <patternFill patternType="solid">
        <fgColor rgb="FFFFF9C4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E3F2FD"/>
        <bgColor rgb="FFEBF5FB"/>
      </patternFill>
    </fill>
    <fill>
      <patternFill patternType="solid">
        <fgColor rgb="FFFFD166"/>
        <bgColor rgb="FFFFCC00"/>
      </patternFill>
    </fill>
    <fill>
      <patternFill patternType="solid">
        <fgColor rgb="FFBBDEFB"/>
        <bgColor rgb="FFC8E6C9"/>
      </patternFill>
    </fill>
    <fill>
      <patternFill patternType="solid">
        <fgColor rgb="FFE8F5E9"/>
        <bgColor rgb="FFEBF5FB"/>
      </patternFill>
    </fill>
    <fill>
      <patternFill patternType="solid">
        <fgColor rgb="FFF5F5F5"/>
        <bgColor rgb="FFF0F4F8"/>
      </patternFill>
    </fill>
    <fill>
      <patternFill patternType="solid">
        <fgColor rgb="FFE8EAF6"/>
        <bgColor rgb="FFE3F2FD"/>
      </patternFill>
    </fill>
    <fill>
      <patternFill patternType="solid">
        <fgColor rgb="FFFFCDD2"/>
        <bgColor rgb="FFCCCCCC"/>
      </patternFill>
    </fill>
    <fill>
      <patternFill patternType="solid">
        <fgColor rgb="FFEBF5FB"/>
        <bgColor rgb="FFF0F4F8"/>
      </patternFill>
    </fill>
    <fill>
      <patternFill patternType="solid">
        <fgColor rgb="FF1565C0"/>
        <bgColor rgb="FF1976D2"/>
      </patternFill>
    </fill>
    <fill>
      <patternFill patternType="solid">
        <fgColor rgb="FF1976D2"/>
        <bgColor rgb="FF1565C0"/>
      </patternFill>
    </fill>
  </fills>
  <borders count="1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0F3460"/>
      </left>
      <right style="medium">
        <color rgb="FF0F3460"/>
      </right>
      <top style="medium">
        <color rgb="FF0F3460"/>
      </top>
      <bottom style="medium">
        <color rgb="FF0F3460"/>
      </bottom>
      <diagonal/>
    </border>
    <border>
      <left style="medium">
        <color rgb="FF0F3460"/>
      </left>
      <right/>
      <top/>
      <bottom/>
      <diagonal/>
    </border>
    <border>
      <left/>
      <right/>
      <top style="medium">
        <color rgb="FF0F3460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/>
      <bottom style="medium">
        <color rgb="FF0F3460"/>
      </bottom>
      <diagonal/>
    </border>
    <border>
      <left style="thin">
        <color rgb="FFCCCCCC"/>
      </left>
      <right/>
      <top style="medium">
        <color rgb="FF0F3460"/>
      </top>
      <bottom/>
      <diagonal/>
    </border>
    <border>
      <left style="thin">
        <color rgb="FFCCCCCC"/>
      </left>
      <right/>
      <top style="medium">
        <color rgb="FF0F3460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medium">
        <color rgb="FF0F3460"/>
      </left>
      <right style="medium">
        <color rgb="FF0F3460"/>
      </right>
      <top/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13" fillId="3" borderId="3" xfId="0" applyFont="1" applyFill="1" applyBorder="1" applyAlignment="1">
      <alignment horizontal="left" vertical="center"/>
    </xf>
    <xf numFmtId="164" fontId="11" fillId="3" borderId="4" xfId="0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 wrapText="1"/>
    </xf>
    <xf numFmtId="49" fontId="15" fillId="10" borderId="1" xfId="0" applyNumberFormat="1" applyFont="1" applyFill="1" applyBorder="1" applyAlignment="1">
      <alignment horizontal="center" vertical="center"/>
    </xf>
    <xf numFmtId="49" fontId="16" fillId="10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/>
    </xf>
    <xf numFmtId="4" fontId="16" fillId="10" borderId="1" xfId="0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vertical="center" wrapText="1"/>
    </xf>
    <xf numFmtId="3" fontId="16" fillId="10" borderId="1" xfId="0" applyNumberFormat="1" applyFont="1" applyFill="1" applyBorder="1" applyAlignment="1">
      <alignment horizontal="center" vertical="center"/>
    </xf>
    <xf numFmtId="4" fontId="16" fillId="11" borderId="1" xfId="0" applyNumberFormat="1" applyFont="1" applyFill="1" applyBorder="1" applyAlignment="1">
      <alignment horizontal="center" vertical="center"/>
    </xf>
    <xf numFmtId="2" fontId="16" fillId="11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vertical="center"/>
    </xf>
    <xf numFmtId="164" fontId="11" fillId="3" borderId="1" xfId="0" applyNumberFormat="1" applyFont="1" applyFill="1" applyBorder="1" applyAlignment="1">
      <alignment horizontal="center" vertical="center"/>
    </xf>
    <xf numFmtId="165" fontId="14" fillId="8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165" fontId="14" fillId="4" borderId="1" xfId="0" applyNumberFormat="1" applyFont="1" applyFill="1" applyBorder="1" applyAlignment="1">
      <alignment horizontal="center" vertical="center"/>
    </xf>
    <xf numFmtId="166" fontId="14" fillId="4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166" fontId="14" fillId="8" borderId="1" xfId="0" applyNumberFormat="1" applyFont="1" applyFill="1" applyBorder="1" applyAlignment="1">
      <alignment horizontal="center" vertical="center"/>
    </xf>
    <xf numFmtId="167" fontId="21" fillId="10" borderId="1" xfId="0" applyNumberFormat="1" applyFont="1" applyFill="1" applyBorder="1" applyAlignment="1">
      <alignment horizontal="center" vertical="center" wrapText="1"/>
    </xf>
    <xf numFmtId="168" fontId="21" fillId="10" borderId="1" xfId="0" applyNumberFormat="1" applyFont="1" applyFill="1" applyBorder="1" applyAlignment="1">
      <alignment horizontal="center" vertical="center" wrapText="1"/>
    </xf>
    <xf numFmtId="167" fontId="23" fillId="9" borderId="1" xfId="0" applyNumberFormat="1" applyFont="1" applyFill="1" applyBorder="1" applyAlignment="1">
      <alignment horizontal="center" vertical="center" wrapText="1"/>
    </xf>
    <xf numFmtId="10" fontId="23" fillId="9" borderId="1" xfId="0" applyNumberFormat="1" applyFont="1" applyFill="1" applyBorder="1" applyAlignment="1">
      <alignment horizontal="center" vertical="center" wrapText="1"/>
    </xf>
    <xf numFmtId="49" fontId="23" fillId="9" borderId="1" xfId="0" applyNumberFormat="1" applyFont="1" applyFill="1" applyBorder="1" applyAlignment="1">
      <alignment horizontal="center" vertical="center" wrapText="1"/>
    </xf>
    <xf numFmtId="167" fontId="24" fillId="9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10" fontId="24" fillId="9" borderId="1" xfId="0" applyNumberFormat="1" applyFont="1" applyFill="1" applyBorder="1" applyAlignment="1">
      <alignment horizontal="center" vertical="center"/>
    </xf>
    <xf numFmtId="167" fontId="24" fillId="9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10" fontId="8" fillId="5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10" fontId="8" fillId="13" borderId="1" xfId="0" applyNumberFormat="1" applyFont="1" applyFill="1" applyBorder="1" applyAlignment="1">
      <alignment horizontal="center" vertical="center"/>
    </xf>
    <xf numFmtId="165" fontId="21" fillId="10" borderId="1" xfId="0" applyNumberFormat="1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left" vertical="center" wrapText="1"/>
    </xf>
    <xf numFmtId="169" fontId="29" fillId="9" borderId="1" xfId="0" applyNumberFormat="1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2" fillId="15" borderId="1" xfId="0" applyFont="1" applyFill="1" applyBorder="1" applyAlignment="1">
      <alignment horizontal="center" vertical="center" wrapText="1"/>
    </xf>
    <xf numFmtId="9" fontId="23" fillId="9" borderId="1" xfId="0" applyNumberFormat="1" applyFont="1" applyFill="1" applyBorder="1" applyAlignment="1">
      <alignment horizontal="center" vertical="center" wrapText="1"/>
    </xf>
    <xf numFmtId="167" fontId="33" fillId="9" borderId="1" xfId="0" applyNumberFormat="1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6" fillId="11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8" fillId="8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10" fontId="11" fillId="3" borderId="1" xfId="0" applyNumberFormat="1" applyFont="1" applyFill="1" applyBorder="1" applyAlignment="1">
      <alignment horizontal="center" vertical="center"/>
    </xf>
    <xf numFmtId="10" fontId="42" fillId="6" borderId="1" xfId="0" applyNumberFormat="1" applyFont="1" applyFill="1" applyBorder="1" applyAlignment="1">
      <alignment horizontal="center" vertical="center"/>
    </xf>
    <xf numFmtId="165" fontId="42" fillId="6" borderId="1" xfId="0" applyNumberFormat="1" applyFont="1" applyFill="1" applyBorder="1" applyAlignment="1">
      <alignment horizontal="center" vertical="center"/>
    </xf>
    <xf numFmtId="10" fontId="20" fillId="17" borderId="1" xfId="0" applyNumberFormat="1" applyFont="1" applyFill="1" applyBorder="1" applyAlignment="1">
      <alignment horizontal="center" vertical="center"/>
    </xf>
    <xf numFmtId="165" fontId="20" fillId="17" borderId="1" xfId="0" applyNumberFormat="1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170" fontId="12" fillId="11" borderId="1" xfId="0" applyNumberFormat="1" applyFont="1" applyFill="1" applyBorder="1" applyAlignment="1">
      <alignment horizontal="center" vertical="center"/>
    </xf>
    <xf numFmtId="171" fontId="24" fillId="9" borderId="1" xfId="0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72" fontId="42" fillId="6" borderId="1" xfId="0" applyNumberFormat="1" applyFont="1" applyFill="1" applyBorder="1" applyAlignment="1">
      <alignment horizontal="center" vertical="center"/>
    </xf>
    <xf numFmtId="0" fontId="17" fillId="12" borderId="0" xfId="0" applyFont="1" applyFill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9" fillId="9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0" fillId="0" borderId="0" xfId="0"/>
    <xf numFmtId="0" fontId="7" fillId="7" borderId="0" xfId="0" applyFont="1" applyFill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25" fillId="14" borderId="4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22" fillId="8" borderId="12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30" fillId="4" borderId="2" xfId="0" applyFont="1" applyFill="1" applyBorder="1" applyAlignment="1">
      <alignment horizontal="left" vertical="center" wrapText="1"/>
    </xf>
    <xf numFmtId="0" fontId="35" fillId="7" borderId="16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26" fillId="5" borderId="14" xfId="0" applyFont="1" applyFill="1" applyBorder="1" applyAlignment="1">
      <alignment horizontal="center" vertical="center" wrapText="1"/>
    </xf>
    <xf numFmtId="0" fontId="27" fillId="15" borderId="15" xfId="0" applyFont="1" applyFill="1" applyBorder="1" applyAlignment="1">
      <alignment horizontal="center" vertical="center" wrapText="1"/>
    </xf>
    <xf numFmtId="0" fontId="34" fillId="15" borderId="14" xfId="0" applyFont="1" applyFill="1" applyBorder="1" applyAlignment="1">
      <alignment horizontal="center" vertical="center" wrapText="1"/>
    </xf>
    <xf numFmtId="0" fontId="39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0" fillId="16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0" fontId="11" fillId="3" borderId="2" xfId="0" applyNumberFormat="1" applyFont="1" applyFill="1" applyBorder="1" applyAlignment="1">
      <alignment horizontal="center" vertical="center"/>
    </xf>
    <xf numFmtId="0" fontId="41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10" fontId="42" fillId="6" borderId="2" xfId="0" applyNumberFormat="1" applyFont="1" applyFill="1" applyBorder="1" applyAlignment="1">
      <alignment horizontal="center" vertical="center"/>
    </xf>
    <xf numFmtId="172" fontId="42" fillId="6" borderId="2" xfId="0" applyNumberFormat="1" applyFont="1" applyFill="1" applyBorder="1" applyAlignment="1">
      <alignment horizontal="center" vertical="center"/>
    </xf>
    <xf numFmtId="165" fontId="42" fillId="6" borderId="2" xfId="0" applyNumberFormat="1" applyFont="1" applyFill="1" applyBorder="1" applyAlignment="1">
      <alignment horizontal="center" vertical="center"/>
    </xf>
    <xf numFmtId="0" fontId="41" fillId="16" borderId="2" xfId="0" applyFont="1" applyFill="1" applyBorder="1" applyAlignment="1">
      <alignment horizontal="center" vertical="center"/>
    </xf>
    <xf numFmtId="0" fontId="13" fillId="17" borderId="2" xfId="0" applyFont="1" applyFill="1" applyBorder="1" applyAlignment="1">
      <alignment horizontal="center" vertical="center"/>
    </xf>
    <xf numFmtId="0" fontId="13" fillId="18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11" borderId="0" xfId="0" applyFont="1" applyFill="1" applyAlignment="1">
      <alignment horizontal="left" vertical="center" wrapText="1"/>
    </xf>
    <xf numFmtId="0" fontId="11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7">
    <dxf>
      <font>
        <b/>
        <sz val="9"/>
        <color rgb="FF616161"/>
        <name val="Arial"/>
        <charset val="1"/>
      </font>
      <fill>
        <patternFill>
          <bgColor rgb="FFF5F5F5"/>
        </patternFill>
      </fill>
    </dxf>
    <dxf>
      <font>
        <b/>
        <sz val="9"/>
        <color rgb="FFB71C1C"/>
        <name val="Arial"/>
        <charset val="1"/>
      </font>
      <fill>
        <patternFill>
          <bgColor rgb="FFFFCDD2"/>
        </patternFill>
      </fill>
    </dxf>
    <dxf>
      <font>
        <b/>
        <sz val="9"/>
        <color rgb="FFE65100"/>
        <name val="Arial"/>
        <charset val="1"/>
      </font>
      <fill>
        <patternFill>
          <bgColor rgb="FFFFF9C4"/>
        </patternFill>
      </fill>
    </dxf>
    <dxf>
      <font>
        <b/>
        <sz val="9"/>
        <color rgb="FF1B5E20"/>
        <name val="Arial"/>
        <charset val="1"/>
      </font>
      <fill>
        <patternFill>
          <bgColor rgb="FFC8E6C9"/>
        </patternFill>
      </fill>
    </dxf>
    <dxf>
      <font>
        <b/>
        <sz val="9"/>
        <color rgb="FFB71C1C"/>
        <name val="Arial"/>
        <charset val="1"/>
      </font>
      <fill>
        <patternFill>
          <bgColor rgb="FFFFCDD2"/>
        </patternFill>
      </fill>
    </dxf>
    <dxf>
      <font>
        <b/>
        <sz val="9"/>
        <color rgb="FFE65100"/>
        <name val="Arial"/>
        <charset val="1"/>
      </font>
      <fill>
        <patternFill>
          <bgColor rgb="FFFFF9C4"/>
        </patternFill>
      </fill>
    </dxf>
    <dxf>
      <font>
        <b/>
        <sz val="9"/>
        <color rgb="FF1B5E20"/>
        <name val="Arial"/>
        <charset val="1"/>
      </font>
      <fill>
        <patternFill>
          <bgColor rgb="FFC8E6C9"/>
        </patternFill>
      </fill>
    </dxf>
    <dxf>
      <font>
        <b/>
        <sz val="9"/>
        <color rgb="FFB71C1C"/>
        <name val="Arial"/>
        <charset val="1"/>
      </font>
      <fill>
        <patternFill>
          <bgColor rgb="FFFFCDD2"/>
        </patternFill>
      </fill>
    </dxf>
    <dxf>
      <font>
        <b/>
        <sz val="9"/>
        <color rgb="FFE65100"/>
        <name val="Arial"/>
        <charset val="1"/>
      </font>
      <fill>
        <patternFill>
          <bgColor rgb="FFFFF9C4"/>
        </patternFill>
      </fill>
    </dxf>
    <dxf>
      <font>
        <b/>
        <sz val="9"/>
        <color rgb="FF1B5E20"/>
        <name val="Arial"/>
        <charset val="1"/>
      </font>
      <fill>
        <patternFill>
          <bgColor rgb="FFC8E6C9"/>
        </patternFill>
      </fill>
    </dxf>
    <dxf>
      <font>
        <b/>
        <sz val="9"/>
        <color rgb="FF616161"/>
        <name val="Arial"/>
        <charset val="1"/>
      </font>
      <fill>
        <patternFill>
          <bgColor rgb="FFF5F5F5"/>
        </patternFill>
      </fill>
    </dxf>
    <dxf>
      <font>
        <b/>
        <sz val="9"/>
        <color rgb="FFB71C1C"/>
        <name val="Arial"/>
        <charset val="1"/>
      </font>
      <fill>
        <patternFill>
          <bgColor rgb="FFFFCDD2"/>
        </patternFill>
      </fill>
    </dxf>
    <dxf>
      <font>
        <b/>
        <sz val="9"/>
        <color rgb="FFE65100"/>
        <name val="Arial"/>
        <charset val="1"/>
      </font>
      <fill>
        <patternFill>
          <bgColor rgb="FFFFF9C4"/>
        </patternFill>
      </fill>
    </dxf>
    <dxf>
      <font>
        <b/>
        <sz val="9"/>
        <color rgb="FF1B5E20"/>
        <name val="Arial"/>
        <charset val="1"/>
      </font>
      <fill>
        <patternFill>
          <bgColor rgb="FFC8E6C9"/>
        </patternFill>
      </fill>
    </dxf>
    <dxf>
      <font>
        <b/>
        <sz val="9"/>
        <color rgb="FFB71C1C"/>
        <name val="Arial"/>
        <charset val="1"/>
      </font>
      <fill>
        <patternFill>
          <bgColor rgb="FFFFCDD2"/>
        </patternFill>
      </fill>
    </dxf>
    <dxf>
      <font>
        <b/>
        <sz val="9"/>
        <color rgb="FFE65100"/>
        <name val="Arial"/>
        <charset val="1"/>
      </font>
      <fill>
        <patternFill>
          <bgColor rgb="FFFFF9C4"/>
        </patternFill>
      </fill>
    </dxf>
    <dxf>
      <font>
        <b/>
        <sz val="9"/>
        <color rgb="FF1B5E20"/>
        <name val="Arial"/>
        <charset val="1"/>
      </font>
      <fill>
        <patternFill>
          <bgColor rgb="FFC8E6C9"/>
        </patternFill>
      </fill>
    </dxf>
  </dxfs>
  <tableStyles count="1" defaultTableStyle="TableStyleMedium2" defaultPivotStyle="PivotStyleLight16">
    <tableStyle name="Invisible" pivot="0" table="0" count="0" xr9:uid="{684BA033-429D-4BEA-BAEC-33C538C11B3A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AA"/>
      <rgbColor rgb="FF808000"/>
      <rgbColor rgb="FF800080"/>
      <rgbColor rgb="FF1A5276"/>
      <rgbColor rgb="FFCCCCCC"/>
      <rgbColor rgb="FF888888"/>
      <rgbColor rgb="FFEBF5FB"/>
      <rgbColor rgb="FF555555"/>
      <rgbColor rgb="FFFFF9C4"/>
      <rgbColor rgb="FFE3F2FD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D47A1"/>
      <rgbColor rgb="FF0000FF"/>
      <rgbColor rgb="FF00CCFF"/>
      <rgbColor rgb="FFE8F5E9"/>
      <rgbColor rgb="FFC8E6C9"/>
      <rgbColor rgb="FFF5F5F5"/>
      <rgbColor rgb="FFE8EAF6"/>
      <rgbColor rgb="FFFFCDD2"/>
      <rgbColor rgb="FFF0F4F8"/>
      <rgbColor rgb="FFFFD166"/>
      <rgbColor rgb="FF1976D2"/>
      <rgbColor rgb="FF33CCCC"/>
      <rgbColor rgb="FF99CC00"/>
      <rgbColor rgb="FFFFCC00"/>
      <rgbColor rgb="FFFF9900"/>
      <rgbColor rgb="FFE65100"/>
      <rgbColor rgb="FF616161"/>
      <rgbColor rgb="FF969696"/>
      <rgbColor rgb="FF0F3460"/>
      <rgbColor rgb="FF339966"/>
      <rgbColor rgb="FF16213E"/>
      <rgbColor rgb="FF1A1A2E"/>
      <rgbColor rgb="FFB71C1C"/>
      <rgbColor rgb="FF993366"/>
      <rgbColor rgb="FF283593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Salvador\Desktop\Acciones\AF_Acciones_MSFT_20260817.xlsx" TargetMode="External"/><Relationship Id="rId1" Type="http://schemas.openxmlformats.org/officeDocument/2006/relationships/externalLinkPath" Target="Acciones/AF_Acciones_MSFT_202608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-statement_symbol=MSFT&amp;pe"/>
      <sheetName val="balance-sheet-statement_symbol="/>
      <sheetName val="cash-flow-statement_symbol=MSFT"/>
      <sheetName val="Configuración"/>
      <sheetName val="Datos_FMP"/>
      <sheetName val="Datos_Entrada"/>
      <sheetName val="Análisis"/>
      <sheetName val="Mi_Posición"/>
      <sheetName val="Comparativa"/>
      <sheetName val="Guía_de_Uso"/>
    </sheetNames>
    <sheetDataSet>
      <sheetData sheetId="0">
        <row r="2">
          <cell r="A2" t="str">
            <v>2026-06-30</v>
          </cell>
          <cell r="I2">
            <v>90007000000</v>
          </cell>
          <cell r="J2">
            <v>29525000000</v>
          </cell>
          <cell r="K2">
            <v>60482000000</v>
          </cell>
          <cell r="Q2">
            <v>19879000000</v>
          </cell>
          <cell r="U2">
            <v>839000000</v>
          </cell>
          <cell r="W2">
            <v>50994000000</v>
          </cell>
          <cell r="X2">
            <v>44886000000</v>
          </cell>
          <cell r="AB2">
            <v>44047000000</v>
          </cell>
          <cell r="AC2">
            <v>8281000000</v>
          </cell>
          <cell r="AG2">
            <v>35766000000</v>
          </cell>
          <cell r="AK2">
            <v>4.8</v>
          </cell>
        </row>
        <row r="3">
          <cell r="A3" t="str">
            <v>2026-03-31</v>
          </cell>
          <cell r="I3">
            <v>82886000000</v>
          </cell>
          <cell r="J3">
            <v>26828000000</v>
          </cell>
          <cell r="K3">
            <v>56058000000</v>
          </cell>
          <cell r="Q3">
            <v>17660000000</v>
          </cell>
          <cell r="U3">
            <v>778000000</v>
          </cell>
          <cell r="W3">
            <v>50285000000</v>
          </cell>
          <cell r="X3">
            <v>40118000000</v>
          </cell>
          <cell r="AB3">
            <v>39340000000</v>
          </cell>
          <cell r="AC3">
            <v>7562000000</v>
          </cell>
          <cell r="AG3">
            <v>31778000000</v>
          </cell>
          <cell r="AK3">
            <v>4.2699999999999996</v>
          </cell>
        </row>
        <row r="4">
          <cell r="A4" t="str">
            <v>2025-12-31</v>
          </cell>
          <cell r="I4">
            <v>81273000000</v>
          </cell>
          <cell r="J4">
            <v>25978000000</v>
          </cell>
          <cell r="K4">
            <v>55295000000</v>
          </cell>
          <cell r="Q4">
            <v>17020000000</v>
          </cell>
          <cell r="U4">
            <v>736000000</v>
          </cell>
          <cell r="W4">
            <v>58180000000</v>
          </cell>
          <cell r="X4">
            <v>48982000000</v>
          </cell>
          <cell r="AB4">
            <v>48246000000</v>
          </cell>
          <cell r="AC4">
            <v>9788000000</v>
          </cell>
          <cell r="AG4">
            <v>38458000000</v>
          </cell>
          <cell r="AK4">
            <v>5.16</v>
          </cell>
        </row>
        <row r="5">
          <cell r="A5" t="str">
            <v>2025-09-30</v>
          </cell>
          <cell r="I5">
            <v>77673000000</v>
          </cell>
          <cell r="J5">
            <v>24043000000</v>
          </cell>
          <cell r="K5">
            <v>53630000000</v>
          </cell>
          <cell r="Q5">
            <v>15669000000</v>
          </cell>
          <cell r="U5">
            <v>698000000</v>
          </cell>
          <cell r="W5">
            <v>48060000000</v>
          </cell>
          <cell r="X5">
            <v>34999000000</v>
          </cell>
          <cell r="AB5">
            <v>34301000000</v>
          </cell>
          <cell r="AC5">
            <v>6554000000</v>
          </cell>
          <cell r="AG5">
            <v>27747000000</v>
          </cell>
          <cell r="AK5">
            <v>3.72</v>
          </cell>
        </row>
      </sheetData>
      <sheetData sheetId="1">
        <row r="2">
          <cell r="I2">
            <v>20935000000</v>
          </cell>
          <cell r="R2">
            <v>207710000000</v>
          </cell>
          <cell r="AB2">
            <v>758376000000</v>
          </cell>
          <cell r="AL2">
            <v>168825000000</v>
          </cell>
          <cell r="AU2">
            <v>315989000000</v>
          </cell>
          <cell r="BC2">
            <v>442387000000</v>
          </cell>
          <cell r="BH2">
            <v>128808300000</v>
          </cell>
        </row>
        <row r="3">
          <cell r="I3">
            <v>32105000000</v>
          </cell>
          <cell r="R3">
            <v>175329000000</v>
          </cell>
          <cell r="AB3">
            <v>694228000000</v>
          </cell>
          <cell r="AL3">
            <v>136661000000</v>
          </cell>
          <cell r="AU3">
            <v>279861000000</v>
          </cell>
          <cell r="BC3">
            <v>414367000000</v>
          </cell>
          <cell r="BH3">
            <v>125432000000</v>
          </cell>
        </row>
        <row r="4">
          <cell r="I4">
            <v>24296000000</v>
          </cell>
          <cell r="R4">
            <v>180190000000</v>
          </cell>
          <cell r="AB4">
            <v>665302000000</v>
          </cell>
          <cell r="AL4">
            <v>130005000000</v>
          </cell>
          <cell r="AU4">
            <v>274427000000</v>
          </cell>
          <cell r="BC4">
            <v>390875000000</v>
          </cell>
          <cell r="BH4">
            <v>123278000000</v>
          </cell>
        </row>
        <row r="5">
          <cell r="I5">
            <v>28849000000</v>
          </cell>
          <cell r="R5">
            <v>189066000000</v>
          </cell>
          <cell r="AB5">
            <v>636351000000</v>
          </cell>
          <cell r="AL5">
            <v>134996000000</v>
          </cell>
          <cell r="AU5">
            <v>273275000000</v>
          </cell>
          <cell r="BC5">
            <v>363076000000</v>
          </cell>
          <cell r="BH5">
            <v>120375000000</v>
          </cell>
        </row>
      </sheetData>
      <sheetData sheetId="2">
        <row r="2">
          <cell r="S2">
            <v>55441000000</v>
          </cell>
          <cell r="AF2">
            <v>-4579000000</v>
          </cell>
          <cell r="AI2">
            <v>-6758000000</v>
          </cell>
          <cell r="AR2">
            <v>-35802000000</v>
          </cell>
          <cell r="AS2">
            <v>19639000000</v>
          </cell>
        </row>
        <row r="3">
          <cell r="S3">
            <v>46679000000</v>
          </cell>
          <cell r="AF3">
            <v>-4627000000</v>
          </cell>
          <cell r="AI3">
            <v>-6756000000</v>
          </cell>
          <cell r="AR3">
            <v>-30876000000</v>
          </cell>
          <cell r="AS3">
            <v>15803000000</v>
          </cell>
        </row>
        <row r="4">
          <cell r="S4">
            <v>35758000000</v>
          </cell>
          <cell r="AF4">
            <v>-7415000000</v>
          </cell>
          <cell r="AI4">
            <v>-6762000000</v>
          </cell>
          <cell r="AR4">
            <v>-29876000000</v>
          </cell>
          <cell r="AS4">
            <v>5882000000</v>
          </cell>
        </row>
        <row r="5">
          <cell r="S5">
            <v>45057000000</v>
          </cell>
          <cell r="AF5">
            <v>-5650000000</v>
          </cell>
          <cell r="AI5">
            <v>-6169000000</v>
          </cell>
          <cell r="AR5">
            <v>-19394000000</v>
          </cell>
          <cell r="AS5">
            <v>25663000000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B77E74-FFCF-41CD-8948-7DD107060F6D}" name="income_statement?symbol_AMZN_period_quarter_limit_4_apikey_tODgkX6EUq12YqjXFdBA7" displayName="income_statement?symbol_AMZN_period_quarter_limit_4_apikey_tODgkX6EUq12YqjXFdBA7" ref="A1:AM5" totalsRowShown="0">
  <autoFilter ref="A1:AM5" xr:uid="{080D1A24-2730-49ED-92A3-AE600BE1A2F6}"/>
  <tableColumns count="39">
    <tableColumn id="1" xr3:uid="{10F0994C-227B-4463-9261-1C5123522810}" name="Column1.date"/>
    <tableColumn id="2" xr3:uid="{6F7A8805-E362-4CDF-9292-5BC784B013A1}" name="Column1.symbol"/>
    <tableColumn id="3" xr3:uid="{F49ECDBA-5154-4D2F-BF2B-44F33B2FA256}" name="Column1.reportedCurrency"/>
    <tableColumn id="4" xr3:uid="{04585E3F-B17B-4666-9132-BF7D80562E7C}" name="Column1.cik"/>
    <tableColumn id="5" xr3:uid="{64281088-C4DD-48AB-9466-BB0D08C56A91}" name="Column1.filingDate"/>
    <tableColumn id="6" xr3:uid="{FB23D9EC-01B5-43E7-9C88-A5B9C0E3F014}" name="Column1.acceptedDate"/>
    <tableColumn id="7" xr3:uid="{0DCFB584-4DBF-4DA1-8BBC-04FFEDE2D185}" name="Column1.fiscalYear"/>
    <tableColumn id="8" xr3:uid="{F57DEE7E-B7E5-4A41-8DD1-B960FCDFE67E}" name="Column1.period"/>
    <tableColumn id="9" xr3:uid="{2AC8F015-BFAA-46DD-A0F8-D2EDCC284A8A}" name="Column1.revenue"/>
    <tableColumn id="10" xr3:uid="{8C3D0A93-9646-4DD5-A0AF-99CE51BBDCCF}" name="Column1.costOfRevenue"/>
    <tableColumn id="11" xr3:uid="{3AB6C6DD-F124-4CEC-8367-BED1328853AB}" name="Column1.grossProfit"/>
    <tableColumn id="12" xr3:uid="{F95AA452-BAE2-470B-9632-9D28A4D30D60}" name="Column1.researchAndDevelopmentExpenses"/>
    <tableColumn id="13" xr3:uid="{3E032E8B-7D66-4EFE-B3E9-2EF9FBC5F3B1}" name="Column1.generalAndAdministrativeExpenses"/>
    <tableColumn id="14" xr3:uid="{D9460BD3-60F7-413B-8B55-48B4AAF8DDDD}" name="Column1.sellingAndMarketingExpenses"/>
    <tableColumn id="15" xr3:uid="{6D173FB1-DF87-4DB7-A809-DB2EFEA4400E}" name="Column1.sellingGeneralAndAdministrativeExpenses"/>
    <tableColumn id="16" xr3:uid="{1B48C092-E5A7-4074-8C80-1153D700B52A}" name="Column1.otherExpenses"/>
    <tableColumn id="17" xr3:uid="{BC940DEC-E876-4988-B02C-BF61845DE66F}" name="Column1.operatingExpenses"/>
    <tableColumn id="18" xr3:uid="{ABE0F772-360F-4FF6-981A-0EF703593F23}" name="Column1.costAndExpenses"/>
    <tableColumn id="19" xr3:uid="{5563FCD0-078F-49FF-BC5B-F4522A64A6C9}" name="Column1.netInterestIncome"/>
    <tableColumn id="20" xr3:uid="{39A474FD-148E-443A-9156-D5F4DA599199}" name="Column1.interestIncome"/>
    <tableColumn id="21" xr3:uid="{3FF856DF-6ED6-4775-8AFA-132E2682EA10}" name="Column1.interestExpense"/>
    <tableColumn id="22" xr3:uid="{6FB26006-AE16-425D-9A7E-D0A02EF55CBF}" name="Column1.depreciationAndAmortization"/>
    <tableColumn id="23" xr3:uid="{4B0A5B16-64F2-439B-88F9-0DF57FA0C16E}" name="Column1.ebitda"/>
    <tableColumn id="24" xr3:uid="{F24480CA-05CD-40C0-8771-9F25630DE96B}" name="Column1.ebit"/>
    <tableColumn id="25" xr3:uid="{972B3639-D605-4625-BC47-097D3F5A0954}" name="Column1.nonOperatingIncomeExcludingInterest"/>
    <tableColumn id="26" xr3:uid="{E86EF8C5-446F-4F7B-B3A0-57CA74ACA28F}" name="Column1.operatingIncome"/>
    <tableColumn id="27" xr3:uid="{0D57D303-9526-4378-8DCF-C0AE2312D976}" name="Column1.totalOtherIncomeExpensesNet"/>
    <tableColumn id="28" xr3:uid="{D2168FC7-DA27-4CA6-A708-0ADA54192537}" name="Column1.incomeBeforeTax"/>
    <tableColumn id="29" xr3:uid="{9A038CC4-7876-4700-AB2D-B5EAC3F9FC3A}" name="Column1.incomeTaxExpense"/>
    <tableColumn id="30" xr3:uid="{5C7C7D3B-452F-4A7E-8FB2-9D1DCE7F64BB}" name="Column1.netIncomeFromContinuingOperations"/>
    <tableColumn id="31" xr3:uid="{D03185EA-205D-4E3E-BEBD-AE2014CB72AC}" name="Column1.netIncomeFromDiscontinuedOperations"/>
    <tableColumn id="32" xr3:uid="{94EBF6A3-FD14-458D-98E7-C28AB6C055E1}" name="Column1.otherAdjustmentsToNetIncome"/>
    <tableColumn id="33" xr3:uid="{23FE96F6-4077-45EB-B227-35158B1F1E54}" name="Column1.netIncome"/>
    <tableColumn id="34" xr3:uid="{AE379D4C-5D79-47CD-930B-17CD214FAE4C}" name="Column1.netIncomeDeductions"/>
    <tableColumn id="35" xr3:uid="{BEC9DBC9-1F80-43E3-91CA-965FB2277FBC}" name="Column1.bottomLineNetIncome"/>
    <tableColumn id="36" xr3:uid="{982494F9-F659-42A5-8605-26E8029D5397}" name="Column1.eps"/>
    <tableColumn id="37" xr3:uid="{695240AC-5A1E-4776-B24C-419D1A58F2FD}" name="Column1.epsDiluted"/>
    <tableColumn id="38" xr3:uid="{E3ED2B9B-6EA4-4D39-83CC-0D1FDEC27E55}" name="Column1.weightedAverageShsOut"/>
    <tableColumn id="39" xr3:uid="{CA3F6A16-B770-4BD3-80B2-ABD53DF409D6}" name="Column1.weightedAverageShsOutDil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156AB6-B9DA-45F6-A52A-F7F59C511C01}" name="balance_sheet_statement?symbol_AMZN_period_quarter_limit_4_apikey_tODgkX6EUq12Yq" displayName="balance_sheet_statement?symbol_AMZN_period_quarter_limit_4_apikey_tODgkX6EUq12Yq" ref="A1:BI5" totalsRowShown="0">
  <autoFilter ref="A1:BI5" xr:uid="{9F4B43ED-5D06-4FB5-BD2E-630DC33D27BD}"/>
  <tableColumns count="61">
    <tableColumn id="1" xr3:uid="{3AECA86F-5C9D-4831-A0E2-1919A6EBD57F}" name="Column1.date"/>
    <tableColumn id="2" xr3:uid="{629F6B91-5B12-474A-9F2F-5EF5BDD3B759}" name="Column1.symbol"/>
    <tableColumn id="3" xr3:uid="{62FC6DA9-421D-4926-80E8-B7789B04B0BD}" name="Column1.reportedCurrency"/>
    <tableColumn id="4" xr3:uid="{430BF286-AF3D-449A-9B0E-55FBDA63D4E7}" name="Column1.cik"/>
    <tableColumn id="5" xr3:uid="{1C47C570-FF08-44DB-AE00-4B6195FEADCD}" name="Column1.filingDate"/>
    <tableColumn id="6" xr3:uid="{C2E9E406-4BDD-4EFC-99CA-80725A30DCF0}" name="Column1.acceptedDate"/>
    <tableColumn id="7" xr3:uid="{2C56D329-B0C3-4E91-A1FF-26FE82375C6B}" name="Column1.fiscalYear"/>
    <tableColumn id="8" xr3:uid="{F9490FC1-4F02-4C1E-AA9F-86E967348C24}" name="Column1.period"/>
    <tableColumn id="9" xr3:uid="{77B56CC1-5AEE-408A-A1C8-C0A8C8E339B9}" name="Column1.cashAndCashEquivalents"/>
    <tableColumn id="10" xr3:uid="{313DDEA9-E68E-42AB-B15B-FA11522B4E30}" name="Column1.shortTermInvestments"/>
    <tableColumn id="11" xr3:uid="{D8B4D09F-938A-4437-8025-04D9BF755CE0}" name="Column1.cashAndShortTermInvestments"/>
    <tableColumn id="12" xr3:uid="{525EA665-B69D-415D-AFA7-E942E802AC8C}" name="Column1.netReceivables"/>
    <tableColumn id="13" xr3:uid="{FD984EBD-DD42-43B6-9EEE-F65D9260603C}" name="Column1.accountsReceivables"/>
    <tableColumn id="14" xr3:uid="{2990940B-1932-4B87-9A86-CFBE245188EC}" name="Column1.otherReceivables"/>
    <tableColumn id="15" xr3:uid="{EC63D118-40A9-4ED5-9334-4CF863BC157E}" name="Column1.inventory"/>
    <tableColumn id="16" xr3:uid="{D54B51DB-B335-4882-9CF2-8C5D56090376}" name="Column1.prepaids"/>
    <tableColumn id="17" xr3:uid="{35B109EB-8CBF-410B-8DC9-3B91033F3B68}" name="Column1.otherCurrentAssets"/>
    <tableColumn id="18" xr3:uid="{F74D42C5-418A-440C-883F-B1BA8A2D1661}" name="Column1.totalCurrentAssets"/>
    <tableColumn id="19" xr3:uid="{8F5A0A52-58CC-45BD-8AD7-D5975BDCC5C3}" name="Column1.propertyPlantEquipmentNet"/>
    <tableColumn id="20" xr3:uid="{789E48FF-1B8F-4A80-9C3E-09DC3C578699}" name="Column1.goodwill"/>
    <tableColumn id="21" xr3:uid="{CD7502C7-A2E5-4B31-9B27-CEA1A5FD921E}" name="Column1.intangibleAssets"/>
    <tableColumn id="22" xr3:uid="{8F31A8FE-5D83-412F-A524-0D8F3A57E60A}" name="Column1.goodwillAndIntangibleAssets"/>
    <tableColumn id="23" xr3:uid="{CEF00C6E-FBFD-4CE9-B7D7-9E9E22B63AC5}" name="Column1.longTermInvestments"/>
    <tableColumn id="24" xr3:uid="{53FE2D38-500B-46A7-9B70-AF0DFA16A3D2}" name="Column1.taxAssets"/>
    <tableColumn id="25" xr3:uid="{BD65DCDA-6E6B-4117-9ED4-E842C8545869}" name="Column1.otherNonCurrentAssets"/>
    <tableColumn id="26" xr3:uid="{811CDA2C-02BC-4E4C-8DF9-32B90CF9161E}" name="Column1.totalNonCurrentAssets"/>
    <tableColumn id="27" xr3:uid="{D5E0035A-385E-4AC6-AFE1-0CB776D94F15}" name="Column1.otherAssets"/>
    <tableColumn id="28" xr3:uid="{D9305A8F-9C17-407F-AA69-F3595B73F8B7}" name="Column1.totalAssets"/>
    <tableColumn id="29" xr3:uid="{DB53E29A-2D32-4BA6-A34B-CC14D468E960}" name="Column1.totalPayables"/>
    <tableColumn id="30" xr3:uid="{BA650459-7B15-42FC-9A39-5E22B9F28B3D}" name="Column1.accountPayables"/>
    <tableColumn id="31" xr3:uid="{31000B45-2430-4294-84AE-EFE3B4560763}" name="Column1.otherPayables"/>
    <tableColumn id="32" xr3:uid="{353EF8F6-758D-4E6F-A54F-DFAB3E602A04}" name="Column1.accruedExpenses"/>
    <tableColumn id="33" xr3:uid="{84546E49-0BE9-487C-9835-099A842F7F52}" name="Column1.shortTermDebt"/>
    <tableColumn id="34" xr3:uid="{64D7A456-1ED5-4057-BBAF-7A9E602218EC}" name="Column1.capitalLeaseObligationsCurrent"/>
    <tableColumn id="35" xr3:uid="{3358217C-5725-4738-91DE-790AB0DF9990}" name="Column1.taxPayables"/>
    <tableColumn id="36" xr3:uid="{1AEDF3A1-0CCA-4487-A6FA-C8D1729EBCF3}" name="Column1.deferredRevenue"/>
    <tableColumn id="37" xr3:uid="{9661B64D-A9F8-4E28-8EA7-F6281FCADCA3}" name="Column1.otherCurrentLiabilities"/>
    <tableColumn id="38" xr3:uid="{8AD84EA4-EC2A-4E78-B86F-F4587F46632C}" name="Column1.totalCurrentLiabilities"/>
    <tableColumn id="39" xr3:uid="{F60D54C7-18FE-4DFA-A9EF-E8D12D0767A9}" name="Column1.longTermDebt"/>
    <tableColumn id="40" xr3:uid="{4BB7507D-080D-46C6-9842-3CEF0AC2A926}" name="Column1.capitalLeaseObligationsNonCurrent"/>
    <tableColumn id="41" xr3:uid="{BB918B97-54E7-4F9B-AA3A-AD8F1FA4ECD7}" name="Column1.deferredRevenueNonCurrent"/>
    <tableColumn id="42" xr3:uid="{6067E47C-5129-4CE9-9B5E-B1F540DF6B2E}" name="Column1.deferredTaxLiabilitiesNonCurrent"/>
    <tableColumn id="43" xr3:uid="{CBD7AD88-0633-4D38-B4D1-B5D87D2492EE}" name="Column1.otherNonCurrentLiabilities"/>
    <tableColumn id="44" xr3:uid="{CCC76E46-609A-4FCE-B277-9A0810426A7B}" name="Column1.totalNonCurrentLiabilities"/>
    <tableColumn id="45" xr3:uid="{A3E4EE00-7283-4EE6-8B88-0A0381720B86}" name="Column1.otherLiabilities"/>
    <tableColumn id="46" xr3:uid="{C2EA1E4C-2EDA-4F99-A37F-438A9F9D1010}" name="Column1.capitalLeaseObligations"/>
    <tableColumn id="47" xr3:uid="{B3873DC4-D5BC-4EE7-A3A9-60543427BDB8}" name="Column1.totalLiabilities"/>
    <tableColumn id="48" xr3:uid="{CFC02054-5D6A-4108-9EA3-7680529CBE3A}" name="Column1.treasuryStock"/>
    <tableColumn id="49" xr3:uid="{AB2D9148-2034-4074-8584-BE75B6FB5A4C}" name="Column1.preferredStock"/>
    <tableColumn id="50" xr3:uid="{89AB7A10-D2C7-432D-839F-13768C888E4A}" name="Column1.commonStock"/>
    <tableColumn id="51" xr3:uid="{0863CE8F-B12F-471D-A72F-C231318D0C06}" name="Column1.retainedEarnings"/>
    <tableColumn id="52" xr3:uid="{29E9160D-71E5-435B-BFE2-64840AA3AEB4}" name="Column1.additionalPaidInCapital"/>
    <tableColumn id="53" xr3:uid="{91AB913A-7B50-47E9-922F-2F6A93D728D2}" name="Column1.accumulatedOtherComprehensiveIncomeLoss"/>
    <tableColumn id="54" xr3:uid="{3FABAB87-D666-4FA0-A99E-E48EE779A9AA}" name="Column1.otherTotalStockholdersEquity"/>
    <tableColumn id="55" xr3:uid="{A9278C3E-4A31-40D7-B38A-B0A02F9D2F4E}" name="Column1.totalStockholdersEquity"/>
    <tableColumn id="56" xr3:uid="{35EC96BB-BB6F-4183-8DDB-69B4570B1082}" name="Column1.totalEquity"/>
    <tableColumn id="57" xr3:uid="{0D8B2372-DA26-4C64-AC34-E946204E1F3F}" name="Column1.minorityInterest"/>
    <tableColumn id="58" xr3:uid="{0F8975C9-152D-4670-BA93-8C348E8B3327}" name="Column1.totalLiabilitiesAndTotalEquity"/>
    <tableColumn id="59" xr3:uid="{3CAE26EF-0292-40DF-98B0-F1D3DBE8EFB6}" name="Column1.totalInvestments"/>
    <tableColumn id="60" xr3:uid="{B716C3ED-9B3F-40C5-9F1E-A82B1D6DE63A}" name="Column1.totalDebt"/>
    <tableColumn id="61" xr3:uid="{C290DAFC-0FEF-4EB9-B714-8423E1F0FCBD}" name="Column1.netDebt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C7CECB-17DF-45D3-B6C9-FFFCCCC2E3E2}" name="cash_flow_statement?symbol_AMZN_period_quarter_limit_4_apikey_tODgkX6EUq12YqjXFd" displayName="cash_flow_statement?symbol_AMZN_period_quarter_limit_4_apikey_tODgkX6EUq12YqjXFd" ref="A1:AU5" totalsRowShown="0">
  <autoFilter ref="A1:AU5" xr:uid="{5C8321CF-7953-47B6-9925-6E84FD8E5B55}"/>
  <tableColumns count="47">
    <tableColumn id="1" xr3:uid="{FF9F2636-49A2-4BF2-901B-E9186C456A13}" name="Column1.date"/>
    <tableColumn id="2" xr3:uid="{67B1B63F-F866-4AF9-9415-4861B684FD89}" name="Column1.symbol"/>
    <tableColumn id="3" xr3:uid="{B43C80E4-593A-48AD-B2AF-79ED3751B2F2}" name="Column1.reportedCurrency"/>
    <tableColumn id="4" xr3:uid="{16EA4F99-3566-4EDB-9EE6-472BB9D50463}" name="Column1.cik"/>
    <tableColumn id="5" xr3:uid="{D0E05381-EC87-43CF-B5B1-82042310CA96}" name="Column1.filingDate"/>
    <tableColumn id="6" xr3:uid="{CAE47EA1-DB74-4451-9515-987912B92A7F}" name="Column1.acceptedDate"/>
    <tableColumn id="7" xr3:uid="{2DC6BE83-8FF2-4DD5-88D9-DCBBE5ADED02}" name="Column1.fiscalYear"/>
    <tableColumn id="8" xr3:uid="{62F9C7FB-579A-46B8-8BED-BF5F49796932}" name="Column1.period"/>
    <tableColumn id="9" xr3:uid="{767155A9-82A2-404F-923E-6C1B42D5D69B}" name="Column1.netIncome"/>
    <tableColumn id="10" xr3:uid="{BF28F5BF-F09E-4569-8AD6-561250E62153}" name="Column1.depreciationAndAmortization"/>
    <tableColumn id="11" xr3:uid="{F8D3AE1D-9C15-48D0-B4DA-EB3858C5118D}" name="Column1.deferredIncomeTax"/>
    <tableColumn id="12" xr3:uid="{FB1FC5F3-C955-4776-90F0-AD44CC2A7A16}" name="Column1.stockBasedCompensation"/>
    <tableColumn id="13" xr3:uid="{0F035DCB-4CFB-460E-ACC0-F636F7C199B4}" name="Column1.changeInWorkingCapital"/>
    <tableColumn id="14" xr3:uid="{3C91D9F2-6D96-4186-9C61-B5A3E1C3A446}" name="Column1.accountsReceivables"/>
    <tableColumn id="15" xr3:uid="{3CC273BC-CF01-4638-90B6-080CC7FD9EF5}" name="Column1.inventory"/>
    <tableColumn id="16" xr3:uid="{CE99CCF7-E062-42C5-8EB8-DB97B96E74D7}" name="Column1.accountsPayables"/>
    <tableColumn id="17" xr3:uid="{4A8E0FAD-965E-409F-A0DF-E6CDAADCB615}" name="Column1.otherWorkingCapital"/>
    <tableColumn id="18" xr3:uid="{EC99941B-0F07-45BE-8A59-0CC3987CE80D}" name="Column1.otherNonCashItems"/>
    <tableColumn id="19" xr3:uid="{EC7383C2-3E47-430C-A55F-3DEA6F1B7BD9}" name="Column1.netCashProvidedByOperatingActivities"/>
    <tableColumn id="20" xr3:uid="{E1AB553C-9F78-4351-BE94-C84167B4606C}" name="Column1.investmentsInPropertyPlantAndEquipment"/>
    <tableColumn id="21" xr3:uid="{13C57300-2343-4D84-BA64-EBC9DA6D2271}" name="Column1.acquisitionsNet"/>
    <tableColumn id="22" xr3:uid="{2B2A3EB2-769D-4C74-8FFA-4F37B487C303}" name="Column1.purchasesOfInvestments"/>
    <tableColumn id="23" xr3:uid="{3EDB84DF-491E-4ACB-9C84-B98BD5A002D0}" name="Column1.salesMaturitiesOfInvestments"/>
    <tableColumn id="24" xr3:uid="{0B467592-7D01-4C6B-9498-F4DE0B293544}" name="Column1.otherInvestingActivities"/>
    <tableColumn id="25" xr3:uid="{DD359F42-4517-4253-8F0E-2BB02CF4B274}" name="Column1.netCashProvidedByInvestingActivities"/>
    <tableColumn id="26" xr3:uid="{C35E9126-03BD-499B-BA55-7A525D64BE8E}" name="Column1.netDebtIssuance"/>
    <tableColumn id="27" xr3:uid="{A02FA236-1497-45BD-81D2-60D2BA36F420}" name="Column1.longTermNetDebtIssuance"/>
    <tableColumn id="28" xr3:uid="{50882F1C-1995-4AED-A750-505C2730E8C6}" name="Column1.shortTermNetDebtIssuance"/>
    <tableColumn id="29" xr3:uid="{D32229E1-024F-40CD-B08F-44C2D0F4EE2D}" name="Column1.netStockIssuance"/>
    <tableColumn id="30" xr3:uid="{1EFF912B-7F0D-47C0-92CD-1473F51B7BCA}" name="Column1.netCommonStockIssuance"/>
    <tableColumn id="31" xr3:uid="{B6C19135-3099-4BB7-A000-A1D492CA0513}" name="Column1.commonStockIssuance"/>
    <tableColumn id="32" xr3:uid="{8DBCD3C7-FADC-4955-817A-78296856CF6B}" name="Column1.commonStockRepurchased"/>
    <tableColumn id="33" xr3:uid="{C56A66A8-9955-4454-825B-69C43569A8D4}" name="Column1.netPreferredStockIssuance"/>
    <tableColumn id="34" xr3:uid="{823C3EDB-07E4-4975-BD2F-0BA1A0363303}" name="Column1.netDividendsPaid"/>
    <tableColumn id="35" xr3:uid="{E1B7E7E6-6A92-4F3D-9F2C-4613EA02D68B}" name="Column1.commonDividendsPaid"/>
    <tableColumn id="36" xr3:uid="{4E184F20-F9E9-437A-8D8B-F80D7BC4B0F0}" name="Column1.preferredDividendsPaid"/>
    <tableColumn id="37" xr3:uid="{13EB1E5B-6E8B-45EB-AA5A-EDBD2FEFF24F}" name="Column1.otherFinancingActivities"/>
    <tableColumn id="38" xr3:uid="{7423248F-BD6E-42B8-9958-DE5597F935B1}" name="Column1.netCashProvidedByFinancingActivities"/>
    <tableColumn id="39" xr3:uid="{4B5FEBBF-A592-448E-9D98-58F8EE1E6F3C}" name="Column1.effectOfForexChangesOnCash"/>
    <tableColumn id="40" xr3:uid="{9E981BBA-2187-4AEB-8FD7-099DC3FD4DD8}" name="Column1.netChangeInCash"/>
    <tableColumn id="41" xr3:uid="{7B287739-8E90-45A4-A0EF-B6A421CADAD5}" name="Column1.cashAtEndOfPeriod"/>
    <tableColumn id="42" xr3:uid="{C66D53E0-207B-40BB-8861-AA3F3BB32317}" name="Column1.cashAtBeginningOfPeriod"/>
    <tableColumn id="43" xr3:uid="{613F34A0-F115-4680-89C3-8C99BA542E53}" name="Column1.operatingCashFlow"/>
    <tableColumn id="44" xr3:uid="{694E5C3F-CF12-4CA3-AACF-B6BBA29C484F}" name="Column1.capitalExpenditure"/>
    <tableColumn id="45" xr3:uid="{345F0857-A6E7-4655-8955-46ECE794F813}" name="Column1.freeCashFlow"/>
    <tableColumn id="46" xr3:uid="{73A15BE3-17FC-4DCD-87D8-2445D5A3F184}" name="Column1.incomeTaxesPaid"/>
    <tableColumn id="47" xr3:uid="{76086BB6-6A46-486F-B6E8-5D31D12C0FB2}" name="Column1.interestPai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ialmodelingprep.com/stable/cash-flow-statement?symbol=TICKER&amp;period=quarter&amp;limit=4&amp;apikey=TU_KEY" TargetMode="External"/><Relationship Id="rId2" Type="http://schemas.openxmlformats.org/officeDocument/2006/relationships/hyperlink" Target="https://financialmodelingprep.com/stable/balance-sheet-statement?symbol=TICKER&amp;period=quarter&amp;limit=4&amp;apikey=TU_KEY" TargetMode="External"/><Relationship Id="rId1" Type="http://schemas.openxmlformats.org/officeDocument/2006/relationships/hyperlink" Target="https://financialmodelingprep.com/stable/income-statement?symbol=TICKER&amp;period=quarter&amp;limit=4&amp;apikey=TU_KEY" TargetMode="External"/><Relationship Id="rId4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FB4E4-E885-46E7-900C-5A6A07290278}">
  <dimension ref="A1:AM5"/>
  <sheetViews>
    <sheetView workbookViewId="0">
      <selection sqref="A1:AM5"/>
    </sheetView>
  </sheetViews>
  <sheetFormatPr defaultRowHeight="14.5" x14ac:dyDescent="0.35"/>
  <cols>
    <col min="1" max="1" width="14.90625" bestFit="1" customWidth="1"/>
    <col min="2" max="2" width="17.1796875" bestFit="1" customWidth="1"/>
    <col min="3" max="3" width="26.26953125" bestFit="1" customWidth="1"/>
    <col min="4" max="4" width="13.36328125" bestFit="1" customWidth="1"/>
    <col min="5" max="5" width="19.26953125" bestFit="1" customWidth="1"/>
    <col min="6" max="6" width="22.81640625" bestFit="1" customWidth="1"/>
    <col min="7" max="7" width="19.08984375" bestFit="1" customWidth="1"/>
    <col min="8" max="8" width="16.6328125" bestFit="1" customWidth="1"/>
    <col min="9" max="9" width="18" bestFit="1" customWidth="1"/>
    <col min="10" max="10" width="24" bestFit="1" customWidth="1"/>
    <col min="11" max="11" width="20.36328125" bestFit="1" customWidth="1"/>
    <col min="12" max="13" width="41.26953125" bestFit="1" customWidth="1"/>
    <col min="14" max="14" width="36.54296875" bestFit="1" customWidth="1"/>
    <col min="15" max="15" width="46.90625" bestFit="1" customWidth="1"/>
    <col min="16" max="16" width="23.7265625" bestFit="1" customWidth="1"/>
    <col min="17" max="17" width="27.1796875" bestFit="1" customWidth="1"/>
    <col min="18" max="18" width="25.90625" bestFit="1" customWidth="1"/>
    <col min="19" max="19" width="27" bestFit="1" customWidth="1"/>
    <col min="20" max="20" width="24.08984375" bestFit="1" customWidth="1"/>
    <col min="21" max="21" width="24.81640625" bestFit="1" customWidth="1"/>
    <col min="22" max="22" width="36.54296875" bestFit="1" customWidth="1"/>
    <col min="23" max="23" width="16.54296875" bestFit="1" customWidth="1"/>
    <col min="24" max="24" width="14.36328125" bestFit="1" customWidth="1"/>
    <col min="25" max="25" width="44.08984375" bestFit="1" customWidth="1"/>
    <col min="26" max="26" width="25.6328125" bestFit="1" customWidth="1"/>
    <col min="27" max="27" width="37.453125" bestFit="1" customWidth="1"/>
    <col min="28" max="28" width="25.90625" bestFit="1" customWidth="1"/>
    <col min="29" max="29" width="27.26953125" bestFit="1" customWidth="1"/>
    <col min="30" max="30" width="43.54296875" bestFit="1" customWidth="1"/>
    <col min="31" max="31" width="45.54296875" bestFit="1" customWidth="1"/>
    <col min="32" max="32" width="38.26953125" bestFit="1" customWidth="1"/>
    <col min="33" max="33" width="20.26953125" bestFit="1" customWidth="1"/>
    <col min="34" max="34" width="29.90625" bestFit="1" customWidth="1"/>
    <col min="35" max="35" width="30.36328125" bestFit="1" customWidth="1"/>
    <col min="36" max="36" width="14" bestFit="1" customWidth="1"/>
    <col min="37" max="37" width="20.26953125" bestFit="1" customWidth="1"/>
    <col min="38" max="38" width="32" bestFit="1" customWidth="1"/>
    <col min="39" max="39" width="34.1796875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>
        <v>90007000000</v>
      </c>
      <c r="J2">
        <v>29525000000</v>
      </c>
      <c r="K2">
        <v>60482000000</v>
      </c>
      <c r="L2">
        <v>9997000000</v>
      </c>
      <c r="M2">
        <v>2287000000</v>
      </c>
      <c r="N2">
        <v>7595000000</v>
      </c>
      <c r="O2">
        <v>9882000000</v>
      </c>
      <c r="P2">
        <v>0</v>
      </c>
      <c r="Q2">
        <v>19879000000</v>
      </c>
      <c r="R2">
        <v>49404000000</v>
      </c>
      <c r="S2">
        <v>-84000000</v>
      </c>
      <c r="T2">
        <v>755000000</v>
      </c>
      <c r="U2">
        <v>839000000</v>
      </c>
      <c r="V2">
        <v>6108000000</v>
      </c>
      <c r="W2">
        <v>50994000000</v>
      </c>
      <c r="X2">
        <v>44886000000</v>
      </c>
      <c r="Y2">
        <v>-4283000000</v>
      </c>
      <c r="Z2">
        <v>40603000000</v>
      </c>
      <c r="AA2">
        <v>3444000000</v>
      </c>
      <c r="AB2">
        <v>44047000000</v>
      </c>
      <c r="AC2">
        <v>8281000000</v>
      </c>
      <c r="AD2">
        <v>35766000000</v>
      </c>
      <c r="AE2">
        <v>0</v>
      </c>
      <c r="AF2">
        <v>0</v>
      </c>
      <c r="AG2">
        <v>35766000000</v>
      </c>
      <c r="AH2">
        <v>0</v>
      </c>
      <c r="AI2">
        <v>35766000000</v>
      </c>
      <c r="AJ2">
        <v>4.8099999999999996</v>
      </c>
      <c r="AK2">
        <v>4.8</v>
      </c>
      <c r="AL2">
        <v>7429000000</v>
      </c>
      <c r="AM2">
        <v>7453000000</v>
      </c>
    </row>
    <row r="3" spans="1:39" x14ac:dyDescent="0.35">
      <c r="A3" t="s">
        <v>47</v>
      </c>
      <c r="B3" t="s">
        <v>40</v>
      </c>
      <c r="C3" t="s">
        <v>41</v>
      </c>
      <c r="D3" t="s">
        <v>42</v>
      </c>
      <c r="E3" t="s">
        <v>48</v>
      </c>
      <c r="F3" t="s">
        <v>49</v>
      </c>
      <c r="G3" t="s">
        <v>45</v>
      </c>
      <c r="H3" t="s">
        <v>50</v>
      </c>
      <c r="I3">
        <v>82886000000</v>
      </c>
      <c r="J3">
        <v>26828000000</v>
      </c>
      <c r="K3">
        <v>56058000000</v>
      </c>
      <c r="L3">
        <v>8915000000</v>
      </c>
      <c r="M3">
        <v>1931000000</v>
      </c>
      <c r="N3">
        <v>6814000000</v>
      </c>
      <c r="O3">
        <v>8745000000</v>
      </c>
      <c r="P3">
        <v>0</v>
      </c>
      <c r="Q3">
        <v>17660000000</v>
      </c>
      <c r="R3">
        <v>44488000000</v>
      </c>
      <c r="S3">
        <v>-48000000</v>
      </c>
      <c r="T3">
        <v>730000000</v>
      </c>
      <c r="U3">
        <v>778000000</v>
      </c>
      <c r="V3">
        <v>10167000000</v>
      </c>
      <c r="W3">
        <v>50285000000</v>
      </c>
      <c r="X3">
        <v>40118000000</v>
      </c>
      <c r="Y3">
        <v>-1720000000</v>
      </c>
      <c r="Z3">
        <v>38398000000</v>
      </c>
      <c r="AA3">
        <v>942000000</v>
      </c>
      <c r="AB3">
        <v>39340000000</v>
      </c>
      <c r="AC3">
        <v>7562000000</v>
      </c>
      <c r="AD3">
        <v>31778000000</v>
      </c>
      <c r="AE3">
        <v>0</v>
      </c>
      <c r="AF3">
        <v>0</v>
      </c>
      <c r="AG3">
        <v>31778000000</v>
      </c>
      <c r="AH3">
        <v>0</v>
      </c>
      <c r="AI3">
        <v>31778000000</v>
      </c>
      <c r="AJ3">
        <v>4.28</v>
      </c>
      <c r="AK3">
        <v>4.2699999999999996</v>
      </c>
      <c r="AL3">
        <v>7426000000</v>
      </c>
      <c r="AM3">
        <v>7445000000</v>
      </c>
    </row>
    <row r="4" spans="1:39" x14ac:dyDescent="0.35">
      <c r="A4" t="s">
        <v>51</v>
      </c>
      <c r="B4" t="s">
        <v>40</v>
      </c>
      <c r="C4" t="s">
        <v>41</v>
      </c>
      <c r="D4" t="s">
        <v>42</v>
      </c>
      <c r="E4" t="s">
        <v>52</v>
      </c>
      <c r="F4" t="s">
        <v>53</v>
      </c>
      <c r="G4" t="s">
        <v>45</v>
      </c>
      <c r="H4" t="s">
        <v>54</v>
      </c>
      <c r="I4">
        <v>81273000000</v>
      </c>
      <c r="J4">
        <v>25978000000</v>
      </c>
      <c r="K4">
        <v>55295000000</v>
      </c>
      <c r="L4">
        <v>8504000000</v>
      </c>
      <c r="M4">
        <v>1932000000</v>
      </c>
      <c r="N4">
        <v>6584000000</v>
      </c>
      <c r="O4">
        <v>8516000000</v>
      </c>
      <c r="P4">
        <v>0</v>
      </c>
      <c r="Q4">
        <v>17020000000</v>
      </c>
      <c r="R4">
        <v>42998000000</v>
      </c>
      <c r="S4">
        <v>104000000</v>
      </c>
      <c r="T4">
        <v>840000000</v>
      </c>
      <c r="U4">
        <v>736000000</v>
      </c>
      <c r="V4">
        <v>9198000000</v>
      </c>
      <c r="W4">
        <v>58180000000</v>
      </c>
      <c r="X4">
        <v>48982000000</v>
      </c>
      <c r="Y4">
        <v>-10707000000</v>
      </c>
      <c r="Z4">
        <v>38275000000</v>
      </c>
      <c r="AA4">
        <v>9971000000</v>
      </c>
      <c r="AB4">
        <v>48246000000</v>
      </c>
      <c r="AC4">
        <v>9788000000</v>
      </c>
      <c r="AD4">
        <v>38458000000</v>
      </c>
      <c r="AE4">
        <v>0</v>
      </c>
      <c r="AF4">
        <v>0</v>
      </c>
      <c r="AG4">
        <v>38458000000</v>
      </c>
      <c r="AH4">
        <v>0</v>
      </c>
      <c r="AI4">
        <v>38458000000</v>
      </c>
      <c r="AJ4">
        <v>5.18</v>
      </c>
      <c r="AK4">
        <v>5.16</v>
      </c>
      <c r="AL4">
        <v>7431000000</v>
      </c>
      <c r="AM4">
        <v>7460000000</v>
      </c>
    </row>
    <row r="5" spans="1:39" x14ac:dyDescent="0.35">
      <c r="A5" t="s">
        <v>55</v>
      </c>
      <c r="B5" t="s">
        <v>40</v>
      </c>
      <c r="C5" t="s">
        <v>41</v>
      </c>
      <c r="D5" t="s">
        <v>42</v>
      </c>
      <c r="E5" t="s">
        <v>56</v>
      </c>
      <c r="F5" t="s">
        <v>57</v>
      </c>
      <c r="G5" t="s">
        <v>45</v>
      </c>
      <c r="H5" t="s">
        <v>58</v>
      </c>
      <c r="I5">
        <v>77673000000</v>
      </c>
      <c r="J5">
        <v>24043000000</v>
      </c>
      <c r="K5">
        <v>53630000000</v>
      </c>
      <c r="L5">
        <v>8146000000</v>
      </c>
      <c r="M5">
        <v>1806000000</v>
      </c>
      <c r="N5">
        <v>5717000000</v>
      </c>
      <c r="O5">
        <v>7523000000</v>
      </c>
      <c r="P5">
        <v>0</v>
      </c>
      <c r="Q5">
        <v>15669000000</v>
      </c>
      <c r="R5">
        <v>39712000000</v>
      </c>
      <c r="S5">
        <v>278000000</v>
      </c>
      <c r="T5">
        <v>976000000</v>
      </c>
      <c r="U5">
        <v>698000000</v>
      </c>
      <c r="V5">
        <v>13061000000</v>
      </c>
      <c r="W5">
        <v>48060000000</v>
      </c>
      <c r="X5">
        <v>34999000000</v>
      </c>
      <c r="Y5">
        <v>2962000000</v>
      </c>
      <c r="Z5">
        <v>37961000000</v>
      </c>
      <c r="AA5">
        <v>-3660000000</v>
      </c>
      <c r="AB5">
        <v>34301000000</v>
      </c>
      <c r="AC5">
        <v>6554000000</v>
      </c>
      <c r="AD5">
        <v>27747000000</v>
      </c>
      <c r="AE5">
        <v>0</v>
      </c>
      <c r="AF5">
        <v>0</v>
      </c>
      <c r="AG5">
        <v>27747000000</v>
      </c>
      <c r="AH5">
        <v>0</v>
      </c>
      <c r="AI5">
        <v>27747000000</v>
      </c>
      <c r="AJ5">
        <v>3.73</v>
      </c>
      <c r="AK5">
        <v>3.72</v>
      </c>
      <c r="AL5">
        <v>7433000000</v>
      </c>
      <c r="AM5">
        <v>7466000000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7C87-0EF6-4339-AC69-C3FB201B93A2}">
  <dimension ref="A1:BI5"/>
  <sheetViews>
    <sheetView workbookViewId="0">
      <selection sqref="A1:BI5"/>
    </sheetView>
  </sheetViews>
  <sheetFormatPr defaultRowHeight="14.5" x14ac:dyDescent="0.35"/>
  <cols>
    <col min="1" max="1" width="14.90625" bestFit="1" customWidth="1"/>
    <col min="2" max="2" width="17.1796875" bestFit="1" customWidth="1"/>
    <col min="3" max="3" width="26.26953125" bestFit="1" customWidth="1"/>
    <col min="4" max="4" width="13.36328125" bestFit="1" customWidth="1"/>
    <col min="5" max="5" width="19.26953125" bestFit="1" customWidth="1"/>
    <col min="6" max="6" width="22.81640625" bestFit="1" customWidth="1"/>
    <col min="7" max="7" width="19.08984375" bestFit="1" customWidth="1"/>
    <col min="8" max="8" width="16.6328125" bestFit="1" customWidth="1"/>
    <col min="9" max="9" width="32.26953125" bestFit="1" customWidth="1"/>
    <col min="10" max="10" width="30.6328125" bestFit="1" customWidth="1"/>
    <col min="11" max="11" width="38" bestFit="1" customWidth="1"/>
    <col min="12" max="12" width="23.81640625" bestFit="1" customWidth="1"/>
    <col min="13" max="13" width="28.54296875" bestFit="1" customWidth="1"/>
    <col min="14" max="14" width="25.6328125" bestFit="1" customWidth="1"/>
    <col min="15" max="15" width="19.26953125" bestFit="1" customWidth="1"/>
    <col min="16" max="16" width="18.453125" bestFit="1" customWidth="1"/>
    <col min="17" max="17" width="27.90625" bestFit="1" customWidth="1"/>
    <col min="18" max="18" width="27.1796875" bestFit="1" customWidth="1"/>
    <col min="19" max="19" width="35.453125" bestFit="1" customWidth="1"/>
    <col min="20" max="20" width="18.1796875" bestFit="1" customWidth="1"/>
    <col min="21" max="21" width="25" bestFit="1" customWidth="1"/>
    <col min="22" max="22" width="35.7265625" bestFit="1" customWidth="1"/>
    <col min="23" max="23" width="29.7265625" bestFit="1" customWidth="1"/>
    <col min="24" max="24" width="19.26953125" bestFit="1" customWidth="1"/>
    <col min="25" max="25" width="31.36328125" bestFit="1" customWidth="1"/>
    <col min="26" max="26" width="30.7265625" bestFit="1" customWidth="1"/>
    <col min="27" max="27" width="21.26953125" bestFit="1" customWidth="1"/>
    <col min="28" max="28" width="20.6328125" bestFit="1" customWidth="1"/>
    <col min="29" max="29" width="22.6328125" bestFit="1" customWidth="1"/>
    <col min="30" max="30" width="25.36328125" bestFit="1" customWidth="1"/>
    <col min="31" max="31" width="23.36328125" bestFit="1" customWidth="1"/>
    <col min="32" max="32" width="25.6328125" bestFit="1" customWidth="1"/>
    <col min="33" max="33" width="24.26953125" bestFit="1" customWidth="1"/>
    <col min="34" max="34" width="37.7265625" bestFit="1" customWidth="1"/>
    <col min="35" max="35" width="21.26953125" bestFit="1" customWidth="1"/>
    <col min="36" max="36" width="25.81640625" bestFit="1" customWidth="1"/>
    <col min="37" max="37" width="30.26953125" bestFit="1" customWidth="1"/>
    <col min="38" max="38" width="29.6328125" bestFit="1" customWidth="1"/>
    <col min="39" max="39" width="23.36328125" bestFit="1" customWidth="1"/>
    <col min="40" max="40" width="41.26953125" bestFit="1" customWidth="1"/>
    <col min="41" max="41" width="36" bestFit="1" customWidth="1"/>
    <col min="42" max="42" width="39.453125" bestFit="1" customWidth="1"/>
    <col min="43" max="43" width="33.81640625" bestFit="1" customWidth="1"/>
    <col min="44" max="44" width="33.1796875" bestFit="1" customWidth="1"/>
    <col min="45" max="45" width="23.7265625" bestFit="1" customWidth="1"/>
    <col min="46" max="46" width="31.08984375" bestFit="1" customWidth="1"/>
    <col min="47" max="47" width="23" bestFit="1" customWidth="1"/>
    <col min="48" max="48" width="22.81640625" bestFit="1" customWidth="1"/>
    <col min="49" max="49" width="23.90625" bestFit="1" customWidth="1"/>
    <col min="50" max="50" width="23.1796875" bestFit="1" customWidth="1"/>
    <col min="51" max="51" width="25.54296875" bestFit="1" customWidth="1"/>
    <col min="52" max="52" width="31" bestFit="1" customWidth="1"/>
    <col min="53" max="53" width="50.26953125" bestFit="1" customWidth="1"/>
    <col min="54" max="54" width="36.6328125" bestFit="1" customWidth="1"/>
    <col min="55" max="55" width="31.6328125" bestFit="1" customWidth="1"/>
    <col min="56" max="56" width="20.54296875" bestFit="1" customWidth="1"/>
    <col min="57" max="57" width="25.08984375" bestFit="1" customWidth="1"/>
    <col min="58" max="58" width="36.26953125" bestFit="1" customWidth="1"/>
    <col min="59" max="59" width="25.7265625" bestFit="1" customWidth="1"/>
    <col min="60" max="60" width="19.36328125" bestFit="1" customWidth="1"/>
    <col min="61" max="61" width="18.08984375" bestFit="1" customWidth="1"/>
  </cols>
  <sheetData>
    <row r="1" spans="1:6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108</v>
      </c>
      <c r="BG1" t="s">
        <v>109</v>
      </c>
      <c r="BH1" t="s">
        <v>110</v>
      </c>
      <c r="BI1" t="s">
        <v>111</v>
      </c>
    </row>
    <row r="2" spans="1:61" x14ac:dyDescent="0.3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>
        <v>20935000000</v>
      </c>
      <c r="J2">
        <v>55908000000</v>
      </c>
      <c r="K2">
        <v>76843000000</v>
      </c>
      <c r="L2">
        <v>80876000000</v>
      </c>
      <c r="M2">
        <v>80876000000</v>
      </c>
      <c r="N2">
        <v>0</v>
      </c>
      <c r="O2">
        <v>1397000000</v>
      </c>
      <c r="P2">
        <v>0</v>
      </c>
      <c r="Q2">
        <v>48594000000</v>
      </c>
      <c r="R2">
        <v>207710000000</v>
      </c>
      <c r="S2">
        <v>337253000000</v>
      </c>
      <c r="T2">
        <v>119651000000</v>
      </c>
      <c r="U2">
        <v>18609000000</v>
      </c>
      <c r="V2">
        <v>138260000000</v>
      </c>
      <c r="W2">
        <v>36348000000</v>
      </c>
      <c r="X2">
        <v>0</v>
      </c>
      <c r="Y2">
        <v>38805000000</v>
      </c>
      <c r="Z2">
        <v>550666000000</v>
      </c>
      <c r="AA2">
        <v>0</v>
      </c>
      <c r="AB2">
        <v>758376000000</v>
      </c>
      <c r="AC2">
        <v>44950000000</v>
      </c>
      <c r="AD2">
        <v>42416000000</v>
      </c>
      <c r="AE2">
        <v>2534000000</v>
      </c>
      <c r="AF2">
        <v>14945000000</v>
      </c>
      <c r="AG2">
        <v>9227000000</v>
      </c>
      <c r="AH2">
        <v>9678300000</v>
      </c>
      <c r="AI2">
        <v>0</v>
      </c>
      <c r="AJ2">
        <v>72965000000</v>
      </c>
      <c r="AK2">
        <v>17059700000</v>
      </c>
      <c r="AL2">
        <v>168825000000</v>
      </c>
      <c r="AM2">
        <v>31067000000</v>
      </c>
      <c r="AN2">
        <v>78836000000</v>
      </c>
      <c r="AO2">
        <v>2747000000</v>
      </c>
      <c r="AP2">
        <v>3054000000</v>
      </c>
      <c r="AQ2">
        <v>31460000000</v>
      </c>
      <c r="AR2">
        <v>147164000000</v>
      </c>
      <c r="AS2">
        <v>0</v>
      </c>
      <c r="AT2">
        <v>88514300000</v>
      </c>
      <c r="AU2">
        <v>315989000000</v>
      </c>
      <c r="AV2">
        <v>0</v>
      </c>
      <c r="AW2">
        <v>0</v>
      </c>
      <c r="AX2">
        <v>117406000000</v>
      </c>
      <c r="AY2">
        <v>328265000000</v>
      </c>
      <c r="AZ2">
        <v>0</v>
      </c>
      <c r="BA2">
        <v>-3284000000</v>
      </c>
      <c r="BB2">
        <v>0</v>
      </c>
      <c r="BC2">
        <v>442387000000</v>
      </c>
      <c r="BD2">
        <v>442387000000</v>
      </c>
      <c r="BE2">
        <v>0</v>
      </c>
      <c r="BF2">
        <v>758376000000</v>
      </c>
      <c r="BG2">
        <v>92256000000</v>
      </c>
      <c r="BH2">
        <v>128808300000</v>
      </c>
      <c r="BI2">
        <v>107873300000</v>
      </c>
    </row>
    <row r="3" spans="1:61" x14ac:dyDescent="0.35">
      <c r="A3" t="s">
        <v>47</v>
      </c>
      <c r="B3" t="s">
        <v>40</v>
      </c>
      <c r="C3" t="s">
        <v>41</v>
      </c>
      <c r="D3" t="s">
        <v>42</v>
      </c>
      <c r="E3" t="s">
        <v>48</v>
      </c>
      <c r="F3" t="s">
        <v>49</v>
      </c>
      <c r="G3" t="s">
        <v>45</v>
      </c>
      <c r="H3" t="s">
        <v>50</v>
      </c>
      <c r="I3">
        <v>32105000000</v>
      </c>
      <c r="J3">
        <v>46167000000</v>
      </c>
      <c r="K3">
        <v>78272000000</v>
      </c>
      <c r="L3">
        <v>60041000000</v>
      </c>
      <c r="M3">
        <v>60041000000</v>
      </c>
      <c r="N3">
        <v>0</v>
      </c>
      <c r="O3">
        <v>1219000000</v>
      </c>
      <c r="P3">
        <v>0</v>
      </c>
      <c r="Q3">
        <v>35797000000</v>
      </c>
      <c r="R3">
        <v>175329000000</v>
      </c>
      <c r="S3">
        <v>307631000000</v>
      </c>
      <c r="T3">
        <v>119661000000</v>
      </c>
      <c r="U3">
        <v>19325000000</v>
      </c>
      <c r="V3">
        <v>138986000000</v>
      </c>
      <c r="W3">
        <v>33683000000</v>
      </c>
      <c r="X3">
        <v>0</v>
      </c>
      <c r="Y3">
        <v>38599000000</v>
      </c>
      <c r="Z3">
        <v>518899000000</v>
      </c>
      <c r="AA3">
        <v>0</v>
      </c>
      <c r="AB3">
        <v>694228000000</v>
      </c>
      <c r="AC3">
        <v>41076000000</v>
      </c>
      <c r="AD3">
        <v>37513000000</v>
      </c>
      <c r="AE3">
        <v>3563000000</v>
      </c>
      <c r="AF3">
        <v>0</v>
      </c>
      <c r="AG3">
        <v>8839000000</v>
      </c>
      <c r="AH3">
        <v>9598000000</v>
      </c>
      <c r="AI3">
        <v>3563000000</v>
      </c>
      <c r="AJ3">
        <v>50924000000</v>
      </c>
      <c r="AK3">
        <v>26224000000</v>
      </c>
      <c r="AL3">
        <v>136661000000</v>
      </c>
      <c r="AM3">
        <v>31423000000</v>
      </c>
      <c r="AN3">
        <v>75572000000</v>
      </c>
      <c r="AO3">
        <v>2753000000</v>
      </c>
      <c r="AP3">
        <v>2899000000</v>
      </c>
      <c r="AQ3">
        <v>30553000000</v>
      </c>
      <c r="AR3">
        <v>143200000000</v>
      </c>
      <c r="AS3">
        <v>0</v>
      </c>
      <c r="AT3">
        <v>85170000000</v>
      </c>
      <c r="AU3">
        <v>279861000000</v>
      </c>
      <c r="AV3">
        <v>0</v>
      </c>
      <c r="AW3">
        <v>0</v>
      </c>
      <c r="AX3">
        <v>115069000000</v>
      </c>
      <c r="AY3">
        <v>302526000000</v>
      </c>
      <c r="AZ3">
        <v>0</v>
      </c>
      <c r="BA3">
        <v>-3228000000</v>
      </c>
      <c r="BB3">
        <v>0</v>
      </c>
      <c r="BC3">
        <v>414367000000</v>
      </c>
      <c r="BD3">
        <v>414367000000</v>
      </c>
      <c r="BE3">
        <v>0</v>
      </c>
      <c r="BF3">
        <v>694228000000</v>
      </c>
      <c r="BG3">
        <v>79850000000</v>
      </c>
      <c r="BH3">
        <v>125432000000</v>
      </c>
      <c r="BI3">
        <v>93327000000</v>
      </c>
    </row>
    <row r="4" spans="1:61" x14ac:dyDescent="0.35">
      <c r="A4" t="s">
        <v>51</v>
      </c>
      <c r="B4" t="s">
        <v>40</v>
      </c>
      <c r="C4" t="s">
        <v>41</v>
      </c>
      <c r="D4" t="s">
        <v>42</v>
      </c>
      <c r="E4" t="s">
        <v>52</v>
      </c>
      <c r="F4" t="s">
        <v>53</v>
      </c>
      <c r="G4" t="s">
        <v>45</v>
      </c>
      <c r="H4" t="s">
        <v>54</v>
      </c>
      <c r="I4">
        <v>24296000000</v>
      </c>
      <c r="J4">
        <v>65160000000</v>
      </c>
      <c r="K4">
        <v>89456000000</v>
      </c>
      <c r="L4">
        <v>56535000000</v>
      </c>
      <c r="M4">
        <v>56535000000</v>
      </c>
      <c r="N4">
        <v>0</v>
      </c>
      <c r="O4">
        <v>1059000000</v>
      </c>
      <c r="P4">
        <v>0</v>
      </c>
      <c r="Q4">
        <v>33140000000</v>
      </c>
      <c r="R4">
        <v>180190000000</v>
      </c>
      <c r="S4">
        <v>286229000000</v>
      </c>
      <c r="T4">
        <v>119622000000</v>
      </c>
      <c r="U4">
        <v>20289000000</v>
      </c>
      <c r="V4">
        <v>139911000000</v>
      </c>
      <c r="W4">
        <v>21202000000</v>
      </c>
      <c r="X4">
        <v>0</v>
      </c>
      <c r="Y4">
        <v>37770000000</v>
      </c>
      <c r="Z4">
        <v>485112000000</v>
      </c>
      <c r="AA4">
        <v>0</v>
      </c>
      <c r="AB4">
        <v>665302000000</v>
      </c>
      <c r="AC4">
        <v>39378000000</v>
      </c>
      <c r="AD4">
        <v>37328000000</v>
      </c>
      <c r="AE4">
        <v>2050000000</v>
      </c>
      <c r="AF4">
        <v>0</v>
      </c>
      <c r="AG4">
        <v>4837000000</v>
      </c>
      <c r="AH4">
        <v>9258000000</v>
      </c>
      <c r="AI4">
        <v>2050000000</v>
      </c>
      <c r="AJ4">
        <v>51376000000</v>
      </c>
      <c r="AK4">
        <v>25156000000</v>
      </c>
      <c r="AL4">
        <v>130005000000</v>
      </c>
      <c r="AM4">
        <v>35425000000</v>
      </c>
      <c r="AN4">
        <v>73758000000</v>
      </c>
      <c r="AO4">
        <v>2668000000</v>
      </c>
      <c r="AP4">
        <v>2876000000</v>
      </c>
      <c r="AQ4">
        <v>29695000000</v>
      </c>
      <c r="AR4">
        <v>144422000000</v>
      </c>
      <c r="AS4">
        <v>0</v>
      </c>
      <c r="AT4">
        <v>83016000000</v>
      </c>
      <c r="AU4">
        <v>274427000000</v>
      </c>
      <c r="AV4">
        <v>0</v>
      </c>
      <c r="AW4">
        <v>0</v>
      </c>
      <c r="AX4">
        <v>112788000000</v>
      </c>
      <c r="AY4">
        <v>280789000000</v>
      </c>
      <c r="AZ4">
        <v>0</v>
      </c>
      <c r="BA4">
        <v>-2702000000</v>
      </c>
      <c r="BB4">
        <v>0</v>
      </c>
      <c r="BC4">
        <v>390875000000</v>
      </c>
      <c r="BD4">
        <v>390875000000</v>
      </c>
      <c r="BE4">
        <v>0</v>
      </c>
      <c r="BF4">
        <v>665302000000</v>
      </c>
      <c r="BG4">
        <v>86368000000</v>
      </c>
      <c r="BH4">
        <v>123278000000</v>
      </c>
      <c r="BI4">
        <v>98982000000</v>
      </c>
    </row>
    <row r="5" spans="1:61" x14ac:dyDescent="0.35">
      <c r="A5" t="s">
        <v>55</v>
      </c>
      <c r="B5" t="s">
        <v>40</v>
      </c>
      <c r="C5" t="s">
        <v>41</v>
      </c>
      <c r="D5" t="s">
        <v>42</v>
      </c>
      <c r="E5" t="s">
        <v>56</v>
      </c>
      <c r="F5" t="s">
        <v>57</v>
      </c>
      <c r="G5" t="s">
        <v>45</v>
      </c>
      <c r="H5" t="s">
        <v>58</v>
      </c>
      <c r="I5">
        <v>28849000000</v>
      </c>
      <c r="J5">
        <v>73156000000</v>
      </c>
      <c r="K5">
        <v>102005000000</v>
      </c>
      <c r="L5">
        <v>52894000000</v>
      </c>
      <c r="M5">
        <v>52894000000</v>
      </c>
      <c r="N5">
        <v>0</v>
      </c>
      <c r="O5">
        <v>1130000000</v>
      </c>
      <c r="P5">
        <v>0</v>
      </c>
      <c r="Q5">
        <v>33037000000</v>
      </c>
      <c r="R5">
        <v>189066000000</v>
      </c>
      <c r="S5">
        <v>255652000000</v>
      </c>
      <c r="T5">
        <v>119497000000</v>
      </c>
      <c r="U5">
        <v>21236000000</v>
      </c>
      <c r="V5">
        <v>140733000000</v>
      </c>
      <c r="W5">
        <v>10283000000</v>
      </c>
      <c r="X5">
        <v>0</v>
      </c>
      <c r="Y5">
        <v>40617000000</v>
      </c>
      <c r="Z5">
        <v>447285000000</v>
      </c>
      <c r="AA5">
        <v>0</v>
      </c>
      <c r="AB5">
        <v>636351000000</v>
      </c>
      <c r="AC5">
        <v>36235000000</v>
      </c>
      <c r="AD5">
        <v>32580000000</v>
      </c>
      <c r="AE5">
        <v>3655000000</v>
      </c>
      <c r="AF5">
        <v>0</v>
      </c>
      <c r="AG5">
        <v>7832000000</v>
      </c>
      <c r="AH5">
        <v>8820000000</v>
      </c>
      <c r="AI5">
        <v>3655000000</v>
      </c>
      <c r="AJ5">
        <v>58987000000</v>
      </c>
      <c r="AK5">
        <v>23122000000</v>
      </c>
      <c r="AL5">
        <v>134996000000</v>
      </c>
      <c r="AM5">
        <v>35376000000</v>
      </c>
      <c r="AN5">
        <v>68347000000</v>
      </c>
      <c r="AO5">
        <v>2546000000</v>
      </c>
      <c r="AP5">
        <v>2852000000</v>
      </c>
      <c r="AQ5">
        <v>29158000000</v>
      </c>
      <c r="AR5">
        <v>138279000000</v>
      </c>
      <c r="AS5">
        <v>0</v>
      </c>
      <c r="AT5">
        <v>77167000000</v>
      </c>
      <c r="AU5">
        <v>273275000000</v>
      </c>
      <c r="AV5">
        <v>0</v>
      </c>
      <c r="AW5">
        <v>0</v>
      </c>
      <c r="AX5">
        <v>110964000000</v>
      </c>
      <c r="AY5">
        <v>254873000000</v>
      </c>
      <c r="AZ5">
        <v>0</v>
      </c>
      <c r="BA5">
        <v>-2761000000</v>
      </c>
      <c r="BB5">
        <v>0</v>
      </c>
      <c r="BC5">
        <v>363076000000</v>
      </c>
      <c r="BD5">
        <v>363076000000</v>
      </c>
      <c r="BE5">
        <v>0</v>
      </c>
      <c r="BF5">
        <v>636351000000</v>
      </c>
      <c r="BG5">
        <v>83439000000</v>
      </c>
      <c r="BH5">
        <v>120375000000</v>
      </c>
      <c r="BI5">
        <v>91526000000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3F922-9EB2-4B45-972A-A233F61010F3}">
  <dimension ref="A1:AU5"/>
  <sheetViews>
    <sheetView workbookViewId="0">
      <selection activeCell="F17" sqref="F17"/>
    </sheetView>
  </sheetViews>
  <sheetFormatPr defaultRowHeight="14.5" x14ac:dyDescent="0.35"/>
  <cols>
    <col min="1" max="1" width="14.90625" bestFit="1" customWidth="1"/>
    <col min="2" max="2" width="17.1796875" bestFit="1" customWidth="1"/>
    <col min="3" max="3" width="26.26953125" bestFit="1" customWidth="1"/>
    <col min="4" max="4" width="13.36328125" bestFit="1" customWidth="1"/>
    <col min="5" max="5" width="19.26953125" bestFit="1" customWidth="1"/>
    <col min="6" max="6" width="22.81640625" bestFit="1" customWidth="1"/>
    <col min="7" max="7" width="19.08984375" bestFit="1" customWidth="1"/>
    <col min="8" max="8" width="16.6328125" bestFit="1" customWidth="1"/>
    <col min="9" max="9" width="20.26953125" bestFit="1" customWidth="1"/>
    <col min="10" max="10" width="36.54296875" bestFit="1" customWidth="1"/>
    <col min="11" max="11" width="27.81640625" bestFit="1" customWidth="1"/>
    <col min="12" max="12" width="33.1796875" bestFit="1" customWidth="1"/>
    <col min="13" max="13" width="32" bestFit="1" customWidth="1"/>
    <col min="14" max="14" width="28.54296875" bestFit="1" customWidth="1"/>
    <col min="15" max="15" width="19.26953125" bestFit="1" customWidth="1"/>
    <col min="16" max="16" width="26.1796875" bestFit="1" customWidth="1"/>
    <col min="17" max="17" width="29" bestFit="1" customWidth="1"/>
    <col min="18" max="18" width="28.26953125" bestFit="1" customWidth="1"/>
    <col min="19" max="19" width="44" bestFit="1" customWidth="1"/>
    <col min="20" max="20" width="48.08984375" bestFit="1" customWidth="1"/>
    <col min="21" max="21" width="24.26953125" bestFit="1" customWidth="1"/>
    <col min="22" max="22" width="32.36328125" bestFit="1" customWidth="1"/>
    <col min="23" max="23" width="36.81640625" bestFit="1" customWidth="1"/>
    <col min="24" max="24" width="31.1796875" bestFit="1" customWidth="1"/>
    <col min="25" max="25" width="43.08984375" bestFit="1" customWidth="1"/>
    <col min="26" max="26" width="25.453125" bestFit="1" customWidth="1"/>
    <col min="27" max="27" width="33.7265625" bestFit="1" customWidth="1"/>
    <col min="28" max="28" width="34.6328125" bestFit="1" customWidth="1"/>
    <col min="29" max="29" width="25.90625" bestFit="1" customWidth="1"/>
    <col min="30" max="30" width="33.7265625" bestFit="1" customWidth="1"/>
    <col min="31" max="31" width="30.54296875" bestFit="1" customWidth="1"/>
    <col min="32" max="32" width="34.26953125" bestFit="1" customWidth="1"/>
    <col min="33" max="33" width="34.08984375" bestFit="1" customWidth="1"/>
    <col min="34" max="34" width="26" bestFit="1" customWidth="1"/>
    <col min="35" max="35" width="30.6328125" bestFit="1" customWidth="1"/>
    <col min="36" max="36" width="31.26953125" bestFit="1" customWidth="1"/>
    <col min="37" max="37" width="31.54296875" bestFit="1" customWidth="1"/>
    <col min="38" max="38" width="43.36328125" bestFit="1" customWidth="1"/>
    <col min="39" max="39" width="36.54296875" bestFit="1" customWidth="1"/>
    <col min="40" max="40" width="26" bestFit="1" customWidth="1"/>
    <col min="41" max="41" width="27.7265625" bestFit="1" customWidth="1"/>
    <col min="42" max="42" width="32.7265625" bestFit="1" customWidth="1"/>
    <col min="43" max="43" width="27.453125" bestFit="1" customWidth="1"/>
    <col min="44" max="44" width="27.08984375" bestFit="1" customWidth="1"/>
    <col min="45" max="45" width="22.54296875" bestFit="1" customWidth="1"/>
    <col min="46" max="46" width="25.81640625" bestFit="1" customWidth="1"/>
    <col min="47" max="47" width="21.453125" bestFit="1" customWidth="1"/>
  </cols>
  <sheetData>
    <row r="1" spans="1:4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32</v>
      </c>
      <c r="J1" t="s">
        <v>21</v>
      </c>
      <c r="K1" t="s">
        <v>112</v>
      </c>
      <c r="L1" t="s">
        <v>113</v>
      </c>
      <c r="M1" t="s">
        <v>114</v>
      </c>
      <c r="N1" t="s">
        <v>63</v>
      </c>
      <c r="O1" t="s">
        <v>65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133</v>
      </c>
      <c r="AI1" t="s">
        <v>134</v>
      </c>
      <c r="AJ1" t="s">
        <v>135</v>
      </c>
      <c r="AK1" t="s">
        <v>136</v>
      </c>
      <c r="AL1" t="s">
        <v>137</v>
      </c>
      <c r="AM1" t="s">
        <v>138</v>
      </c>
      <c r="AN1" t="s">
        <v>139</v>
      </c>
      <c r="AO1" t="s">
        <v>140</v>
      </c>
      <c r="AP1" t="s">
        <v>141</v>
      </c>
      <c r="AQ1" t="s">
        <v>142</v>
      </c>
      <c r="AR1" t="s">
        <v>143</v>
      </c>
      <c r="AS1" t="s">
        <v>144</v>
      </c>
      <c r="AT1" t="s">
        <v>145</v>
      </c>
      <c r="AU1" t="s">
        <v>146</v>
      </c>
    </row>
    <row r="2" spans="1:47" x14ac:dyDescent="0.3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>
        <v>35766000000</v>
      </c>
      <c r="J2">
        <v>11022000000</v>
      </c>
      <c r="K2">
        <v>4650000000</v>
      </c>
      <c r="L2">
        <v>3122000000</v>
      </c>
      <c r="M2">
        <v>4624000000</v>
      </c>
      <c r="N2">
        <v>-21084000000</v>
      </c>
      <c r="O2">
        <v>-178000000</v>
      </c>
      <c r="P2">
        <v>2365000000</v>
      </c>
      <c r="Q2">
        <v>23521000000</v>
      </c>
      <c r="R2">
        <v>-3743000000</v>
      </c>
      <c r="S2">
        <v>55441000000</v>
      </c>
      <c r="T2">
        <v>-35802000000</v>
      </c>
      <c r="U2">
        <v>-452000000</v>
      </c>
      <c r="V2">
        <v>-18829000000</v>
      </c>
      <c r="W2">
        <v>10668000000</v>
      </c>
      <c r="X2">
        <v>-10416000000</v>
      </c>
      <c r="Y2">
        <v>-54831000000</v>
      </c>
      <c r="Z2">
        <v>0</v>
      </c>
      <c r="AA2">
        <v>0</v>
      </c>
      <c r="AB2">
        <v>0</v>
      </c>
      <c r="AC2">
        <v>-4059000000</v>
      </c>
      <c r="AD2">
        <v>-4059000000</v>
      </c>
      <c r="AE2">
        <v>520000000</v>
      </c>
      <c r="AF2">
        <v>-4579000000</v>
      </c>
      <c r="AG2">
        <v>0</v>
      </c>
      <c r="AH2">
        <v>-6758000000</v>
      </c>
      <c r="AI2">
        <v>-6758000000</v>
      </c>
      <c r="AJ2">
        <v>0</v>
      </c>
      <c r="AK2">
        <v>-962000000</v>
      </c>
      <c r="AL2">
        <v>-11779000000</v>
      </c>
      <c r="AM2">
        <v>-1000000</v>
      </c>
      <c r="AN2">
        <v>-11170000000</v>
      </c>
      <c r="AO2">
        <v>20935000000</v>
      </c>
      <c r="AP2">
        <v>32105000000</v>
      </c>
      <c r="AQ2">
        <v>55441000000</v>
      </c>
      <c r="AR2">
        <v>-35802000000</v>
      </c>
      <c r="AS2">
        <v>19639000000</v>
      </c>
      <c r="AT2">
        <v>0</v>
      </c>
      <c r="AU2">
        <v>0</v>
      </c>
    </row>
    <row r="3" spans="1:47" x14ac:dyDescent="0.35">
      <c r="A3" t="s">
        <v>47</v>
      </c>
      <c r="B3" t="s">
        <v>40</v>
      </c>
      <c r="C3" t="s">
        <v>41</v>
      </c>
      <c r="D3" t="s">
        <v>42</v>
      </c>
      <c r="E3" t="s">
        <v>48</v>
      </c>
      <c r="F3" t="s">
        <v>49</v>
      </c>
      <c r="G3" t="s">
        <v>45</v>
      </c>
      <c r="H3" t="s">
        <v>50</v>
      </c>
      <c r="I3">
        <v>31778000000</v>
      </c>
      <c r="J3">
        <v>10167000000</v>
      </c>
      <c r="K3">
        <v>2602000000</v>
      </c>
      <c r="L3">
        <v>3081000000</v>
      </c>
      <c r="M3">
        <v>331000000</v>
      </c>
      <c r="N3">
        <v>-4707000000</v>
      </c>
      <c r="O3">
        <v>-161000000</v>
      </c>
      <c r="P3">
        <v>2320000000</v>
      </c>
      <c r="Q3">
        <v>2879000000</v>
      </c>
      <c r="R3">
        <v>-1280000000</v>
      </c>
      <c r="S3">
        <v>46679000000</v>
      </c>
      <c r="T3">
        <v>-30876000000</v>
      </c>
      <c r="U3">
        <v>-258000000</v>
      </c>
      <c r="V3">
        <v>-12006000000</v>
      </c>
      <c r="W3">
        <v>18334000000</v>
      </c>
      <c r="X3">
        <v>-2599000000</v>
      </c>
      <c r="Y3">
        <v>-27405000000</v>
      </c>
      <c r="Z3">
        <v>0</v>
      </c>
      <c r="AA3">
        <v>0</v>
      </c>
      <c r="AB3">
        <v>0</v>
      </c>
      <c r="AC3">
        <v>-4086000000</v>
      </c>
      <c r="AD3">
        <v>-4086000000</v>
      </c>
      <c r="AE3">
        <v>541000000</v>
      </c>
      <c r="AF3">
        <v>-4627000000</v>
      </c>
      <c r="AG3">
        <v>0</v>
      </c>
      <c r="AH3">
        <v>-6756000000</v>
      </c>
      <c r="AI3">
        <v>-6756000000</v>
      </c>
      <c r="AJ3">
        <v>0</v>
      </c>
      <c r="AK3">
        <v>-509000000</v>
      </c>
      <c r="AL3">
        <v>-11351000000</v>
      </c>
      <c r="AM3">
        <v>-114000000</v>
      </c>
      <c r="AN3">
        <v>7809000000</v>
      </c>
      <c r="AO3">
        <v>32105000000</v>
      </c>
      <c r="AP3">
        <v>24296000000</v>
      </c>
      <c r="AQ3">
        <v>46679000000</v>
      </c>
      <c r="AR3">
        <v>-30876000000</v>
      </c>
      <c r="AS3">
        <v>15803000000</v>
      </c>
      <c r="AT3">
        <v>0</v>
      </c>
      <c r="AU3">
        <v>0</v>
      </c>
    </row>
    <row r="4" spans="1:47" x14ac:dyDescent="0.35">
      <c r="A4" t="s">
        <v>51</v>
      </c>
      <c r="B4" t="s">
        <v>40</v>
      </c>
      <c r="C4" t="s">
        <v>41</v>
      </c>
      <c r="D4" t="s">
        <v>42</v>
      </c>
      <c r="E4" t="s">
        <v>52</v>
      </c>
      <c r="F4" t="s">
        <v>53</v>
      </c>
      <c r="G4" t="s">
        <v>45</v>
      </c>
      <c r="H4" t="s">
        <v>54</v>
      </c>
      <c r="I4">
        <v>38458000000</v>
      </c>
      <c r="J4">
        <v>9198000000</v>
      </c>
      <c r="K4">
        <v>4446000000</v>
      </c>
      <c r="L4">
        <v>3219000000</v>
      </c>
      <c r="M4">
        <v>-9632000000</v>
      </c>
      <c r="N4">
        <v>-3436000000</v>
      </c>
      <c r="O4">
        <v>70000000</v>
      </c>
      <c r="P4">
        <v>1197000000</v>
      </c>
      <c r="Q4">
        <v>-7463000000</v>
      </c>
      <c r="R4">
        <v>-9931000000</v>
      </c>
      <c r="S4">
        <v>35758000000</v>
      </c>
      <c r="T4">
        <v>-29876000000</v>
      </c>
      <c r="U4">
        <v>-455000000</v>
      </c>
      <c r="V4">
        <v>-9845000000</v>
      </c>
      <c r="W4">
        <v>18108000000</v>
      </c>
      <c r="X4">
        <v>-637000000</v>
      </c>
      <c r="Y4">
        <v>-22705000000</v>
      </c>
      <c r="Z4">
        <v>-3000000000</v>
      </c>
      <c r="AA4">
        <v>-3000000000</v>
      </c>
      <c r="AB4">
        <v>0</v>
      </c>
      <c r="AC4">
        <v>-7156000000</v>
      </c>
      <c r="AD4">
        <v>-7156000000</v>
      </c>
      <c r="AE4">
        <v>259000000</v>
      </c>
      <c r="AF4">
        <v>-7415000000</v>
      </c>
      <c r="AG4">
        <v>0</v>
      </c>
      <c r="AH4">
        <v>-6762000000</v>
      </c>
      <c r="AI4">
        <v>-6762000000</v>
      </c>
      <c r="AJ4">
        <v>0</v>
      </c>
      <c r="AK4">
        <v>-699000000</v>
      </c>
      <c r="AL4">
        <v>-17617000000</v>
      </c>
      <c r="AM4">
        <v>11000000</v>
      </c>
      <c r="AN4">
        <v>-4553000000</v>
      </c>
      <c r="AO4">
        <v>24296000000</v>
      </c>
      <c r="AP4">
        <v>28849000000</v>
      </c>
      <c r="AQ4">
        <v>35758000000</v>
      </c>
      <c r="AR4">
        <v>-29876000000</v>
      </c>
      <c r="AS4">
        <v>5882000000</v>
      </c>
      <c r="AT4">
        <v>0</v>
      </c>
      <c r="AU4">
        <v>0</v>
      </c>
    </row>
    <row r="5" spans="1:47" x14ac:dyDescent="0.35">
      <c r="A5" t="s">
        <v>55</v>
      </c>
      <c r="B5" t="s">
        <v>40</v>
      </c>
      <c r="C5" t="s">
        <v>41</v>
      </c>
      <c r="D5" t="s">
        <v>42</v>
      </c>
      <c r="E5" t="s">
        <v>56</v>
      </c>
      <c r="F5" t="s">
        <v>57</v>
      </c>
      <c r="G5" t="s">
        <v>45</v>
      </c>
      <c r="H5" t="s">
        <v>58</v>
      </c>
      <c r="I5">
        <v>27747000000</v>
      </c>
      <c r="J5">
        <v>13061000000</v>
      </c>
      <c r="K5">
        <v>2491000000</v>
      </c>
      <c r="L5">
        <v>2983000000</v>
      </c>
      <c r="M5">
        <v>-218000000</v>
      </c>
      <c r="N5">
        <v>16490000000</v>
      </c>
      <c r="O5">
        <v>-192000000</v>
      </c>
      <c r="P5">
        <v>-614000000</v>
      </c>
      <c r="Q5">
        <v>-15902000000</v>
      </c>
      <c r="R5">
        <v>-1007000000</v>
      </c>
      <c r="S5">
        <v>45057000000</v>
      </c>
      <c r="T5">
        <v>-19394000000</v>
      </c>
      <c r="U5">
        <v>-578000000</v>
      </c>
      <c r="V5">
        <v>-17671000000</v>
      </c>
      <c r="W5">
        <v>9293000000</v>
      </c>
      <c r="X5">
        <v>-6209000000</v>
      </c>
      <c r="Y5">
        <v>-34559000000</v>
      </c>
      <c r="Z5">
        <v>0</v>
      </c>
      <c r="AA5">
        <v>0</v>
      </c>
      <c r="AB5">
        <v>0</v>
      </c>
      <c r="AC5">
        <v>-4961000000</v>
      </c>
      <c r="AD5">
        <v>-4961000000</v>
      </c>
      <c r="AE5">
        <v>689000000</v>
      </c>
      <c r="AF5">
        <v>-5650000000</v>
      </c>
      <c r="AG5">
        <v>0</v>
      </c>
      <c r="AH5">
        <v>-6169000000</v>
      </c>
      <c r="AI5">
        <v>-6169000000</v>
      </c>
      <c r="AJ5">
        <v>0</v>
      </c>
      <c r="AK5">
        <v>-669000000</v>
      </c>
      <c r="AL5">
        <v>-11799000000</v>
      </c>
      <c r="AM5">
        <v>-92000000</v>
      </c>
      <c r="AN5">
        <v>-1393000000</v>
      </c>
      <c r="AO5">
        <v>28849000000</v>
      </c>
      <c r="AP5">
        <v>30242000000</v>
      </c>
      <c r="AQ5">
        <v>45057000000</v>
      </c>
      <c r="AR5">
        <v>-19394000000</v>
      </c>
      <c r="AS5">
        <v>25663000000</v>
      </c>
      <c r="AT5">
        <v>0</v>
      </c>
      <c r="AU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zoomScaleNormal="100" workbookViewId="0">
      <selection activeCell="A20" sqref="A20"/>
    </sheetView>
  </sheetViews>
  <sheetFormatPr defaultColWidth="8.6328125" defaultRowHeight="14.5" x14ac:dyDescent="0.35"/>
  <cols>
    <col min="1" max="1" width="38" customWidth="1"/>
    <col min="2" max="2" width="45" customWidth="1"/>
    <col min="3" max="3" width="30" customWidth="1"/>
  </cols>
  <sheetData>
    <row r="1" spans="1:3" ht="36" customHeight="1" x14ac:dyDescent="0.35">
      <c r="A1" s="82" t="s">
        <v>147</v>
      </c>
      <c r="B1" s="82"/>
      <c r="C1" s="82"/>
    </row>
    <row r="2" spans="1:3" ht="18" customHeight="1" x14ac:dyDescent="0.35">
      <c r="A2" s="83" t="s">
        <v>148</v>
      </c>
      <c r="B2" s="83"/>
      <c r="C2" s="83"/>
    </row>
    <row r="4" spans="1:3" ht="31.5" customHeight="1" x14ac:dyDescent="0.35">
      <c r="A4" s="85" t="s">
        <v>149</v>
      </c>
      <c r="B4" s="85"/>
      <c r="C4" s="85"/>
    </row>
    <row r="5" spans="1:3" ht="21.75" customHeight="1" x14ac:dyDescent="0.35">
      <c r="A5" s="1" t="s">
        <v>150</v>
      </c>
      <c r="B5" s="2"/>
      <c r="C5" s="3" t="s">
        <v>151</v>
      </c>
    </row>
    <row r="6" spans="1:3" ht="21.75" customHeight="1" x14ac:dyDescent="0.35">
      <c r="A6" s="1" t="s">
        <v>152</v>
      </c>
      <c r="B6" s="2" t="s">
        <v>40</v>
      </c>
      <c r="C6" s="3" t="s">
        <v>440</v>
      </c>
    </row>
    <row r="7" spans="1:3" ht="21.75" customHeight="1" x14ac:dyDescent="0.35">
      <c r="A7" s="1" t="s">
        <v>153</v>
      </c>
      <c r="B7" s="2" t="s">
        <v>154</v>
      </c>
      <c r="C7" s="3" t="s">
        <v>155</v>
      </c>
    </row>
    <row r="9" spans="1:3" ht="31.5" customHeight="1" x14ac:dyDescent="0.35">
      <c r="A9" s="86" t="s">
        <v>441</v>
      </c>
      <c r="B9" s="86"/>
      <c r="C9" s="86"/>
    </row>
    <row r="10" spans="1:3" ht="18" customHeight="1" x14ac:dyDescent="0.35">
      <c r="A10" s="87" t="s">
        <v>442</v>
      </c>
      <c r="B10" s="87"/>
      <c r="C10" s="87"/>
    </row>
    <row r="12" spans="1:3" ht="31.5" customHeight="1" x14ac:dyDescent="0.35">
      <c r="A12" s="85" t="s">
        <v>156</v>
      </c>
      <c r="B12" s="85"/>
      <c r="C12" s="85"/>
    </row>
    <row r="13" spans="1:3" ht="19.5" customHeight="1" x14ac:dyDescent="0.35">
      <c r="A13" s="88" t="s">
        <v>157</v>
      </c>
      <c r="B13" s="88"/>
      <c r="C13" s="88"/>
    </row>
    <row r="14" spans="1:3" ht="19.5" customHeight="1" x14ac:dyDescent="0.35">
      <c r="A14" s="89" t="s">
        <v>158</v>
      </c>
      <c r="B14" s="89"/>
      <c r="C14" s="89"/>
    </row>
    <row r="15" spans="1:3" ht="19.5" customHeight="1" x14ac:dyDescent="0.35">
      <c r="A15" s="88" t="s">
        <v>159</v>
      </c>
      <c r="B15" s="88"/>
      <c r="C15" s="88"/>
    </row>
    <row r="16" spans="1:3" ht="19.5" customHeight="1" x14ac:dyDescent="0.35">
      <c r="A16" s="89" t="s">
        <v>160</v>
      </c>
      <c r="B16" s="89"/>
      <c r="C16" s="89"/>
    </row>
    <row r="17" spans="1:3" ht="19.5" customHeight="1" x14ac:dyDescent="0.35">
      <c r="A17" s="88" t="s">
        <v>161</v>
      </c>
      <c r="B17" s="88"/>
      <c r="C17" s="88"/>
    </row>
    <row r="18" spans="1:3" ht="19.5" customHeight="1" x14ac:dyDescent="0.35">
      <c r="A18" s="89" t="s">
        <v>162</v>
      </c>
      <c r="B18" s="89"/>
      <c r="C18" s="89"/>
    </row>
    <row r="19" spans="1:3" ht="19.5" customHeight="1" x14ac:dyDescent="0.35">
      <c r="A19" s="88" t="s">
        <v>443</v>
      </c>
      <c r="B19" s="88"/>
      <c r="C19" s="88"/>
    </row>
  </sheetData>
  <mergeCells count="13">
    <mergeCell ref="A17:C17"/>
    <mergeCell ref="A18:C18"/>
    <mergeCell ref="A19:C19"/>
    <mergeCell ref="A12:C12"/>
    <mergeCell ref="A13:C13"/>
    <mergeCell ref="A14:C14"/>
    <mergeCell ref="A15:C15"/>
    <mergeCell ref="A16:C16"/>
    <mergeCell ref="A1:C1"/>
    <mergeCell ref="A2:C2"/>
    <mergeCell ref="A4:C4"/>
    <mergeCell ref="A9:C9"/>
    <mergeCell ref="A10:C10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zoomScaleNormal="100" workbookViewId="0">
      <selection activeCell="B6" sqref="B6:F6"/>
    </sheetView>
  </sheetViews>
  <sheetFormatPr defaultColWidth="8.6328125" defaultRowHeight="14.5" x14ac:dyDescent="0.35"/>
  <cols>
    <col min="1" max="1" width="35" customWidth="1"/>
    <col min="2" max="6" width="18" customWidth="1"/>
  </cols>
  <sheetData>
    <row r="1" spans="1:6" ht="36" customHeight="1" x14ac:dyDescent="0.35">
      <c r="A1" s="91" t="s">
        <v>163</v>
      </c>
      <c r="B1" s="91"/>
      <c r="C1" s="91"/>
      <c r="D1" s="91"/>
      <c r="E1" s="91"/>
      <c r="F1" s="91"/>
    </row>
    <row r="2" spans="1:6" ht="18" customHeight="1" x14ac:dyDescent="0.35">
      <c r="A2" s="92" t="s">
        <v>164</v>
      </c>
      <c r="B2" s="92"/>
      <c r="C2" s="92"/>
      <c r="D2" s="92"/>
      <c r="E2" s="92"/>
      <c r="F2" s="92"/>
    </row>
    <row r="4" spans="1:6" ht="18" customHeight="1" x14ac:dyDescent="0.35">
      <c r="A4" s="81" t="s">
        <v>165</v>
      </c>
      <c r="B4" s="81"/>
      <c r="C4" s="81"/>
      <c r="D4" s="81"/>
      <c r="E4" s="81"/>
      <c r="F4" s="81"/>
    </row>
    <row r="6" spans="1:6" ht="18" customHeight="1" x14ac:dyDescent="0.35">
      <c r="A6" s="1" t="s">
        <v>166</v>
      </c>
      <c r="B6" s="90" t="s">
        <v>435</v>
      </c>
      <c r="C6" s="90"/>
      <c r="D6" s="90"/>
      <c r="E6" s="90"/>
      <c r="F6" s="90"/>
    </row>
    <row r="7" spans="1:6" ht="18" customHeight="1" x14ac:dyDescent="0.35">
      <c r="A7" s="1" t="s">
        <v>167</v>
      </c>
      <c r="B7" s="90" t="s">
        <v>436</v>
      </c>
      <c r="C7" s="90"/>
      <c r="D7" s="90"/>
      <c r="E7" s="90"/>
      <c r="F7" s="90"/>
    </row>
    <row r="8" spans="1:6" ht="18" customHeight="1" x14ac:dyDescent="0.35">
      <c r="A8" s="1" t="s">
        <v>168</v>
      </c>
      <c r="B8" s="90" t="s">
        <v>437</v>
      </c>
      <c r="C8" s="90"/>
      <c r="D8" s="90"/>
      <c r="E8" s="90"/>
      <c r="F8" s="90"/>
    </row>
    <row r="9" spans="1:6" ht="18" customHeight="1" x14ac:dyDescent="0.35">
      <c r="A9" s="1" t="s">
        <v>169</v>
      </c>
      <c r="B9" s="90" t="s">
        <v>438</v>
      </c>
      <c r="C9" s="90"/>
      <c r="D9" s="90"/>
      <c r="E9" s="90"/>
      <c r="F9" s="90"/>
    </row>
    <row r="11" spans="1:6" ht="18" customHeight="1" x14ac:dyDescent="0.35">
      <c r="A11" s="87" t="s">
        <v>439</v>
      </c>
      <c r="B11" s="87"/>
      <c r="C11" s="87"/>
      <c r="D11" s="87"/>
      <c r="E11" s="87"/>
      <c r="F11" s="87"/>
    </row>
    <row r="13" spans="1:6" ht="27.75" customHeight="1" x14ac:dyDescent="0.35">
      <c r="A13" s="4" t="s">
        <v>170</v>
      </c>
      <c r="B13" s="4" t="s">
        <v>171</v>
      </c>
      <c r="C13" s="4" t="s">
        <v>54</v>
      </c>
      <c r="D13" s="4" t="s">
        <v>50</v>
      </c>
      <c r="E13" s="4" t="s">
        <v>46</v>
      </c>
      <c r="F13" s="4" t="s">
        <v>172</v>
      </c>
    </row>
    <row r="14" spans="1:6" ht="18" customHeight="1" x14ac:dyDescent="0.35">
      <c r="A14" s="5" t="s">
        <v>173</v>
      </c>
      <c r="B14" s="6"/>
      <c r="C14" s="6"/>
      <c r="D14" s="6"/>
      <c r="E14" s="6"/>
      <c r="F14" s="6"/>
    </row>
    <row r="15" spans="1:6" ht="18" customHeight="1" x14ac:dyDescent="0.35">
      <c r="A15" s="7" t="s">
        <v>174</v>
      </c>
      <c r="B15" s="8"/>
      <c r="C15" s="8"/>
      <c r="D15" s="8"/>
      <c r="E15" s="8"/>
      <c r="F15" s="8"/>
    </row>
    <row r="16" spans="1:6" ht="18" customHeight="1" x14ac:dyDescent="0.35">
      <c r="A16" s="5" t="s">
        <v>175</v>
      </c>
      <c r="B16" s="6"/>
      <c r="C16" s="6"/>
      <c r="D16" s="6"/>
      <c r="E16" s="6"/>
      <c r="F16" s="6"/>
    </row>
    <row r="17" spans="1:6" ht="18" customHeight="1" x14ac:dyDescent="0.35">
      <c r="A17" s="7" t="s">
        <v>176</v>
      </c>
      <c r="B17" s="8"/>
      <c r="C17" s="8"/>
      <c r="D17" s="8"/>
      <c r="E17" s="8"/>
      <c r="F17" s="8"/>
    </row>
    <row r="18" spans="1:6" ht="18" customHeight="1" x14ac:dyDescent="0.35">
      <c r="A18" s="5" t="s">
        <v>177</v>
      </c>
      <c r="B18" s="6"/>
      <c r="C18" s="6"/>
      <c r="D18" s="6"/>
      <c r="E18" s="6"/>
      <c r="F18" s="6"/>
    </row>
    <row r="19" spans="1:6" ht="18" customHeight="1" x14ac:dyDescent="0.35">
      <c r="A19" s="7" t="s">
        <v>178</v>
      </c>
      <c r="B19" s="8"/>
      <c r="C19" s="8"/>
      <c r="D19" s="8"/>
      <c r="E19" s="8"/>
      <c r="F19" s="8"/>
    </row>
    <row r="20" spans="1:6" ht="18" customHeight="1" x14ac:dyDescent="0.35">
      <c r="A20" s="5" t="s">
        <v>179</v>
      </c>
      <c r="B20" s="6"/>
      <c r="C20" s="6"/>
      <c r="D20" s="6"/>
      <c r="E20" s="6"/>
      <c r="F20" s="6"/>
    </row>
    <row r="21" spans="1:6" ht="18" customHeight="1" x14ac:dyDescent="0.35">
      <c r="A21" s="7" t="s">
        <v>180</v>
      </c>
      <c r="B21" s="8"/>
      <c r="C21" s="8"/>
      <c r="D21" s="8"/>
      <c r="E21" s="8"/>
      <c r="F21" s="8"/>
    </row>
    <row r="22" spans="1:6" ht="18" customHeight="1" x14ac:dyDescent="0.35">
      <c r="A22" s="5" t="s">
        <v>181</v>
      </c>
      <c r="B22" s="6"/>
      <c r="C22" s="6"/>
      <c r="D22" s="6"/>
      <c r="E22" s="6"/>
      <c r="F22" s="6"/>
    </row>
    <row r="23" spans="1:6" ht="18" customHeight="1" x14ac:dyDescent="0.35">
      <c r="A23" s="7" t="s">
        <v>182</v>
      </c>
      <c r="B23" s="8"/>
      <c r="C23" s="8"/>
      <c r="D23" s="8"/>
      <c r="E23" s="8"/>
      <c r="F23" s="8"/>
    </row>
    <row r="24" spans="1:6" ht="18" customHeight="1" x14ac:dyDescent="0.35">
      <c r="A24" s="5" t="s">
        <v>183</v>
      </c>
      <c r="B24" s="6"/>
      <c r="C24" s="6"/>
      <c r="D24" s="6"/>
      <c r="E24" s="6"/>
      <c r="F24" s="6"/>
    </row>
    <row r="25" spans="1:6" ht="18" customHeight="1" x14ac:dyDescent="0.35">
      <c r="A25" s="7" t="s">
        <v>184</v>
      </c>
      <c r="B25" s="8"/>
      <c r="C25" s="8"/>
      <c r="D25" s="8"/>
      <c r="E25" s="8"/>
      <c r="F25" s="8"/>
    </row>
    <row r="26" spans="1:6" ht="18" customHeight="1" x14ac:dyDescent="0.35">
      <c r="A26" s="5" t="s">
        <v>185</v>
      </c>
      <c r="B26" s="6"/>
      <c r="C26" s="6"/>
      <c r="D26" s="6"/>
      <c r="E26" s="6"/>
      <c r="F26" s="6"/>
    </row>
    <row r="27" spans="1:6" ht="18" customHeight="1" x14ac:dyDescent="0.35">
      <c r="A27" s="7" t="s">
        <v>186</v>
      </c>
      <c r="B27" s="8"/>
      <c r="C27" s="8"/>
      <c r="D27" s="8"/>
      <c r="E27" s="8"/>
      <c r="F27" s="8"/>
    </row>
    <row r="28" spans="1:6" ht="18" customHeight="1" x14ac:dyDescent="0.35">
      <c r="A28" s="5" t="s">
        <v>187</v>
      </c>
      <c r="B28" s="6"/>
      <c r="C28" s="6"/>
      <c r="D28" s="6"/>
      <c r="E28" s="6"/>
      <c r="F28" s="6"/>
    </row>
    <row r="29" spans="1:6" ht="18" customHeight="1" x14ac:dyDescent="0.35">
      <c r="A29" s="7" t="s">
        <v>188</v>
      </c>
      <c r="B29" s="8"/>
      <c r="C29" s="8"/>
      <c r="D29" s="8"/>
      <c r="E29" s="8"/>
      <c r="F29" s="8"/>
    </row>
    <row r="30" spans="1:6" ht="18" customHeight="1" x14ac:dyDescent="0.35">
      <c r="A30" s="5" t="s">
        <v>189</v>
      </c>
      <c r="B30" s="6"/>
      <c r="C30" s="6"/>
      <c r="D30" s="6"/>
      <c r="E30" s="6"/>
      <c r="F30" s="6"/>
    </row>
    <row r="31" spans="1:6" ht="18" customHeight="1" x14ac:dyDescent="0.35">
      <c r="A31" s="7" t="s">
        <v>190</v>
      </c>
      <c r="B31" s="8"/>
      <c r="C31" s="8"/>
      <c r="D31" s="8"/>
      <c r="E31" s="8"/>
      <c r="F31" s="8"/>
    </row>
    <row r="32" spans="1:6" ht="18" customHeight="1" x14ac:dyDescent="0.35">
      <c r="A32" s="5" t="s">
        <v>191</v>
      </c>
      <c r="B32" s="6"/>
      <c r="C32" s="6"/>
      <c r="D32" s="6"/>
      <c r="E32" s="6"/>
      <c r="F32" s="6"/>
    </row>
    <row r="33" spans="1:6" ht="18" customHeight="1" x14ac:dyDescent="0.35">
      <c r="A33" s="7" t="s">
        <v>192</v>
      </c>
      <c r="B33" s="8"/>
      <c r="C33" s="8"/>
      <c r="D33" s="8"/>
      <c r="E33" s="8"/>
      <c r="F33" s="8"/>
    </row>
    <row r="34" spans="1:6" ht="18" customHeight="1" x14ac:dyDescent="0.35">
      <c r="A34" s="5" t="s">
        <v>193</v>
      </c>
      <c r="B34" s="6"/>
      <c r="C34" s="6"/>
      <c r="D34" s="6"/>
      <c r="E34" s="6"/>
      <c r="F34" s="6"/>
    </row>
    <row r="35" spans="1:6" ht="18" customHeight="1" x14ac:dyDescent="0.35">
      <c r="A35" s="7" t="s">
        <v>194</v>
      </c>
      <c r="B35" s="8"/>
      <c r="C35" s="8"/>
      <c r="D35" s="8"/>
      <c r="E35" s="8"/>
      <c r="F35" s="8"/>
    </row>
    <row r="36" spans="1:6" ht="18" customHeight="1" x14ac:dyDescent="0.35">
      <c r="A36" s="5" t="s">
        <v>195</v>
      </c>
      <c r="B36" s="6"/>
      <c r="C36" s="6"/>
      <c r="D36" s="6"/>
      <c r="E36" s="6"/>
      <c r="F36" s="6"/>
    </row>
    <row r="37" spans="1:6" ht="18" customHeight="1" x14ac:dyDescent="0.35">
      <c r="A37" s="7" t="s">
        <v>196</v>
      </c>
      <c r="B37" s="8"/>
      <c r="C37" s="8"/>
      <c r="D37" s="8"/>
      <c r="E37" s="8"/>
      <c r="F37" s="8"/>
    </row>
  </sheetData>
  <mergeCells count="8">
    <mergeCell ref="B8:F8"/>
    <mergeCell ref="B9:F9"/>
    <mergeCell ref="A11:F11"/>
    <mergeCell ref="A1:F1"/>
    <mergeCell ref="A2:F2"/>
    <mergeCell ref="A4:F4"/>
    <mergeCell ref="B6:F6"/>
    <mergeCell ref="B7:F7"/>
  </mergeCells>
  <hyperlinks>
    <hyperlink ref="B6" r:id="rId1" display="https://financialmodelingprep.com/stable/income-statement?symbol=TICKER&amp;period=quarter&amp;limit=4&amp;apikey=TU_KEY" xr:uid="{00000000-0004-0000-0400-000000000000}"/>
    <hyperlink ref="B7" r:id="rId2" display="https://financialmodelingprep.com/stable/balance-sheet-statement?symbol=TICKER&amp;period=quarter&amp;limit=4&amp;apikey=TU_KEY" xr:uid="{00000000-0004-0000-0400-000001000000}"/>
    <hyperlink ref="B8" r:id="rId3" display="https://financialmodelingprep.com/stable/cash-flow-statement?symbol=TICKER&amp;period=quarter&amp;limit=4&amp;apikey=TU_KEY" xr:uid="{00000000-0004-0000-0400-000002000000}"/>
  </hyperlinks>
  <pageMargins left="0.75" right="0.75" top="1" bottom="1" header="0.511811023622047" footer="0.511811023622047"/>
  <pageSetup paperSize="9" orientation="portrait" horizontalDpi="300" verticalDpi="300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1"/>
  <sheetViews>
    <sheetView tabSelected="1" zoomScale="99" zoomScaleNormal="99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9" sqref="B9"/>
    </sheetView>
  </sheetViews>
  <sheetFormatPr defaultColWidth="8.6328125" defaultRowHeight="14.5" x14ac:dyDescent="0.35"/>
  <cols>
    <col min="1" max="1" width="42" customWidth="1"/>
    <col min="2" max="2" width="16.81640625" customWidth="1"/>
    <col min="3" max="5" width="16" customWidth="1"/>
  </cols>
  <sheetData>
    <row r="1" spans="1:5" ht="36" customHeight="1" x14ac:dyDescent="0.35">
      <c r="A1" s="82" t="s">
        <v>197</v>
      </c>
      <c r="B1" s="82"/>
      <c r="C1" s="82"/>
      <c r="D1" s="82"/>
      <c r="E1" s="82"/>
    </row>
    <row r="2" spans="1:5" ht="27" customHeight="1" x14ac:dyDescent="0.35">
      <c r="A2" s="83" t="s">
        <v>434</v>
      </c>
      <c r="B2" s="83"/>
      <c r="C2" s="83"/>
      <c r="D2" s="83"/>
      <c r="E2" s="83"/>
    </row>
    <row r="3" spans="1:5" ht="27.75" customHeight="1" x14ac:dyDescent="0.35">
      <c r="A3" s="4" t="s">
        <v>198</v>
      </c>
      <c r="B3" s="4" t="s">
        <v>171</v>
      </c>
      <c r="C3" s="4" t="s">
        <v>54</v>
      </c>
      <c r="D3" s="4" t="s">
        <v>50</v>
      </c>
      <c r="E3" s="4" t="s">
        <v>199</v>
      </c>
    </row>
    <row r="4" spans="1:5" ht="21.75" customHeight="1" x14ac:dyDescent="0.35">
      <c r="A4" s="9" t="s">
        <v>200</v>
      </c>
      <c r="B4" s="10" t="str">
        <f>TEXT('[1]income-statement_symbol=MSFT&amp;pe'!A2,"DD/MM/YYYY")</f>
        <v>30/06/2026</v>
      </c>
      <c r="C4" s="10" t="str">
        <f>TEXT('[1]income-statement_symbol=MSFT&amp;pe'!A3,"DD/MM/YYYY")</f>
        <v>31/03/2026</v>
      </c>
      <c r="D4" s="10" t="str">
        <f>TEXT('[1]income-statement_symbol=MSFT&amp;pe'!A4,"DD/MM/YYYY")</f>
        <v>31/12/2025</v>
      </c>
      <c r="E4" s="10" t="str">
        <f>TEXT('[1]income-statement_symbol=MSFT&amp;pe'!A5,"DD/MM/YYYY")</f>
        <v>30/09/2025</v>
      </c>
    </row>
    <row r="5" spans="1:5" ht="31" customHeight="1" x14ac:dyDescent="0.35">
      <c r="A5" s="84" t="s">
        <v>201</v>
      </c>
      <c r="B5" s="84"/>
      <c r="C5" s="84"/>
      <c r="D5" s="84"/>
      <c r="E5" s="84"/>
    </row>
    <row r="6" spans="1:5" ht="30" customHeight="1" x14ac:dyDescent="0.35">
      <c r="A6" s="11" t="s">
        <v>202</v>
      </c>
      <c r="B6" s="12" t="s">
        <v>203</v>
      </c>
      <c r="C6" s="13"/>
      <c r="D6" s="13"/>
      <c r="E6" s="13"/>
    </row>
    <row r="7" spans="1:5" ht="30" customHeight="1" x14ac:dyDescent="0.35">
      <c r="A7" s="14" t="s">
        <v>204</v>
      </c>
      <c r="B7" s="12" t="s">
        <v>40</v>
      </c>
      <c r="C7" s="13"/>
      <c r="D7" s="13"/>
      <c r="E7" s="13"/>
    </row>
    <row r="8" spans="1:5" ht="30" customHeight="1" x14ac:dyDescent="0.35">
      <c r="A8" s="11" t="s">
        <v>444</v>
      </c>
      <c r="B8" s="12" t="s">
        <v>205</v>
      </c>
      <c r="C8" s="13"/>
      <c r="D8" s="13"/>
      <c r="E8" s="13"/>
    </row>
    <row r="9" spans="1:5" ht="30" customHeight="1" x14ac:dyDescent="0.35">
      <c r="A9" s="14" t="s">
        <v>206</v>
      </c>
      <c r="B9" s="15">
        <v>481.15</v>
      </c>
      <c r="C9" s="15">
        <v>369.46</v>
      </c>
      <c r="D9" s="15">
        <v>483.64</v>
      </c>
      <c r="E9" s="15">
        <v>519.67999999999995</v>
      </c>
    </row>
    <row r="10" spans="1:5" ht="31.5" customHeight="1" x14ac:dyDescent="0.35">
      <c r="A10" s="16" t="s">
        <v>207</v>
      </c>
      <c r="B10" s="17">
        <v>7426000000</v>
      </c>
      <c r="C10" s="17">
        <v>7426000000</v>
      </c>
      <c r="D10" s="17">
        <v>7426000000</v>
      </c>
      <c r="E10" s="17">
        <v>7426000000</v>
      </c>
    </row>
    <row r="11" spans="1:5" ht="30" customHeight="1" x14ac:dyDescent="0.35">
      <c r="A11" s="79" t="s">
        <v>208</v>
      </c>
      <c r="B11" s="79"/>
      <c r="C11" s="79"/>
      <c r="D11" s="79"/>
      <c r="E11" s="79"/>
    </row>
    <row r="12" spans="1:5" ht="30" customHeight="1" x14ac:dyDescent="0.35">
      <c r="A12" s="11" t="s">
        <v>209</v>
      </c>
      <c r="B12" s="18">
        <f>IFERROR('[1]income-statement_symbol=MSFT&amp;pe'!I2,"N/D")</f>
        <v>90007000000</v>
      </c>
      <c r="C12" s="18">
        <f>IFERROR('[1]income-statement_symbol=MSFT&amp;pe'!I3,"N/D")</f>
        <v>82886000000</v>
      </c>
      <c r="D12" s="18">
        <f>IFERROR('[1]income-statement_symbol=MSFT&amp;pe'!I4,"N/D")</f>
        <v>81273000000</v>
      </c>
      <c r="E12" s="18">
        <f>IFERROR('[1]income-statement_symbol=MSFT&amp;pe'!I5,"N/D")</f>
        <v>77673000000</v>
      </c>
    </row>
    <row r="13" spans="1:5" ht="30" customHeight="1" x14ac:dyDescent="0.35">
      <c r="A13" s="14" t="s">
        <v>210</v>
      </c>
      <c r="B13" s="18">
        <f>IFERROR('[1]income-statement_symbol=MSFT&amp;pe'!J2,"N/D")</f>
        <v>29525000000</v>
      </c>
      <c r="C13" s="18">
        <f>IFERROR('[1]income-statement_symbol=MSFT&amp;pe'!J3,"N/D")</f>
        <v>26828000000</v>
      </c>
      <c r="D13" s="18">
        <f>IFERROR('[1]income-statement_symbol=MSFT&amp;pe'!J4,"N/D")</f>
        <v>25978000000</v>
      </c>
      <c r="E13" s="18">
        <f>IFERROR('[1]income-statement_symbol=MSFT&amp;pe'!J5,"N/D")</f>
        <v>24043000000</v>
      </c>
    </row>
    <row r="14" spans="1:5" ht="30" customHeight="1" x14ac:dyDescent="0.35">
      <c r="A14" s="11" t="s">
        <v>211</v>
      </c>
      <c r="B14" s="18">
        <f>IFERROR('[1]income-statement_symbol=MSFT&amp;pe'!K2,"N/D")</f>
        <v>60482000000</v>
      </c>
      <c r="C14" s="18">
        <f>IFERROR('[1]income-statement_symbol=MSFT&amp;pe'!K3,"N/D")</f>
        <v>56058000000</v>
      </c>
      <c r="D14" s="18">
        <f>IFERROR('[1]income-statement_symbol=MSFT&amp;pe'!K4,"N/D")</f>
        <v>55295000000</v>
      </c>
      <c r="E14" s="18">
        <f>IFERROR('[1]income-statement_symbol=MSFT&amp;pe'!K5,"N/D")</f>
        <v>53630000000</v>
      </c>
    </row>
    <row r="15" spans="1:5" ht="30" customHeight="1" x14ac:dyDescent="0.35">
      <c r="A15" s="14" t="s">
        <v>212</v>
      </c>
      <c r="B15" s="18">
        <f>IFERROR('[1]income-statement_symbol=MSFT&amp;pe'!Q2,"N/D")</f>
        <v>19879000000</v>
      </c>
      <c r="C15" s="18">
        <f>IFERROR('[1]income-statement_symbol=MSFT&amp;pe'!Q3,"N/D")</f>
        <v>17660000000</v>
      </c>
      <c r="D15" s="18">
        <f>IFERROR('[1]income-statement_symbol=MSFT&amp;pe'!Q4,"N/D")</f>
        <v>17020000000</v>
      </c>
      <c r="E15" s="18">
        <f>IFERROR('[1]income-statement_symbol=MSFT&amp;pe'!Q5,"N/D")</f>
        <v>15669000000</v>
      </c>
    </row>
    <row r="16" spans="1:5" ht="30" customHeight="1" x14ac:dyDescent="0.35">
      <c r="A16" s="11" t="s">
        <v>213</v>
      </c>
      <c r="B16" s="18">
        <f>IFERROR('[1]income-statement_symbol=MSFT&amp;pe'!W2,"N/D")</f>
        <v>50994000000</v>
      </c>
      <c r="C16" s="18">
        <f>IFERROR('[1]income-statement_symbol=MSFT&amp;pe'!W3,"N/D")</f>
        <v>50285000000</v>
      </c>
      <c r="D16" s="18">
        <f>IFERROR('[1]income-statement_symbol=MSFT&amp;pe'!W4,"N/D")</f>
        <v>58180000000</v>
      </c>
      <c r="E16" s="18">
        <f>IFERROR('[1]income-statement_symbol=MSFT&amp;pe'!W5,"N/D")</f>
        <v>48060000000</v>
      </c>
    </row>
    <row r="17" spans="1:5" ht="30" customHeight="1" x14ac:dyDescent="0.35">
      <c r="A17" s="14" t="s">
        <v>214</v>
      </c>
      <c r="B17" s="18">
        <f>IFERROR('[1]income-statement_symbol=MSFT&amp;pe'!X2,"N/D")</f>
        <v>44886000000</v>
      </c>
      <c r="C17" s="18">
        <f>IFERROR('[1]income-statement_symbol=MSFT&amp;pe'!X3,"N/D")</f>
        <v>40118000000</v>
      </c>
      <c r="D17" s="18">
        <f>IFERROR('[1]income-statement_symbol=MSFT&amp;pe'!X4,"N/D")</f>
        <v>48982000000</v>
      </c>
      <c r="E17" s="18">
        <f>IFERROR('[1]income-statement_symbol=MSFT&amp;pe'!X5,"N/D")</f>
        <v>34999000000</v>
      </c>
    </row>
    <row r="18" spans="1:5" ht="30" customHeight="1" x14ac:dyDescent="0.35">
      <c r="A18" s="11" t="s">
        <v>215</v>
      </c>
      <c r="B18" s="18">
        <f>IFERROR('[1]income-statement_symbol=MSFT&amp;pe'!U2,"N/D")</f>
        <v>839000000</v>
      </c>
      <c r="C18" s="18">
        <f>IFERROR('[1]income-statement_symbol=MSFT&amp;pe'!U3,"N/D")</f>
        <v>778000000</v>
      </c>
      <c r="D18" s="18">
        <f>IFERROR('[1]income-statement_symbol=MSFT&amp;pe'!U4,"N/D")</f>
        <v>736000000</v>
      </c>
      <c r="E18" s="18">
        <f>IFERROR('[1]income-statement_symbol=MSFT&amp;pe'!U5,"N/D")</f>
        <v>698000000</v>
      </c>
    </row>
    <row r="19" spans="1:5" ht="30" customHeight="1" x14ac:dyDescent="0.35">
      <c r="A19" s="14" t="s">
        <v>216</v>
      </c>
      <c r="B19" s="18">
        <f>IFERROR('[1]income-statement_symbol=MSFT&amp;pe'!AB2,"N/D")</f>
        <v>44047000000</v>
      </c>
      <c r="C19" s="18">
        <f>IFERROR('[1]income-statement_symbol=MSFT&amp;pe'!AB3,"N/D")</f>
        <v>39340000000</v>
      </c>
      <c r="D19" s="18">
        <f>IFERROR('[1]income-statement_symbol=MSFT&amp;pe'!AB4,"N/D")</f>
        <v>48246000000</v>
      </c>
      <c r="E19" s="18">
        <f>IFERROR('[1]income-statement_symbol=MSFT&amp;pe'!AB5,"N/D")</f>
        <v>34301000000</v>
      </c>
    </row>
    <row r="20" spans="1:5" ht="30" customHeight="1" x14ac:dyDescent="0.35">
      <c r="A20" s="11" t="s">
        <v>217</v>
      </c>
      <c r="B20" s="18">
        <f>IFERROR('[1]income-statement_symbol=MSFT&amp;pe'!AC2,"N/D")</f>
        <v>8281000000</v>
      </c>
      <c r="C20" s="18">
        <f>IFERROR('[1]income-statement_symbol=MSFT&amp;pe'!AC3,"N/D")</f>
        <v>7562000000</v>
      </c>
      <c r="D20" s="18">
        <f>IFERROR('[1]income-statement_symbol=MSFT&amp;pe'!AC4,"N/D")</f>
        <v>9788000000</v>
      </c>
      <c r="E20" s="18">
        <f>IFERROR('[1]income-statement_symbol=MSFT&amp;pe'!AC5,"N/D")</f>
        <v>6554000000</v>
      </c>
    </row>
    <row r="21" spans="1:5" ht="30" customHeight="1" x14ac:dyDescent="0.35">
      <c r="A21" s="14" t="s">
        <v>218</v>
      </c>
      <c r="B21" s="18">
        <f>IFERROR('[1]income-statement_symbol=MSFT&amp;pe'!AG2,"N/D")</f>
        <v>35766000000</v>
      </c>
      <c r="C21" s="18">
        <f>IFERROR('[1]income-statement_symbol=MSFT&amp;pe'!AG3,"N/D")</f>
        <v>31778000000</v>
      </c>
      <c r="D21" s="18">
        <f>IFERROR('[1]income-statement_symbol=MSFT&amp;pe'!AG4,"N/D")</f>
        <v>38458000000</v>
      </c>
      <c r="E21" s="18">
        <f>IFERROR('[1]income-statement_symbol=MSFT&amp;pe'!AG5,"N/D")</f>
        <v>27747000000</v>
      </c>
    </row>
    <row r="22" spans="1:5" ht="30" customHeight="1" x14ac:dyDescent="0.35">
      <c r="A22" s="11" t="s">
        <v>219</v>
      </c>
      <c r="B22" s="19">
        <f>IFERROR('[1]income-statement_symbol=MSFT&amp;pe'!AK2,"N/D")</f>
        <v>4.8</v>
      </c>
      <c r="C22" s="19">
        <f>IFERROR('[1]income-statement_symbol=MSFT&amp;pe'!AK3,"N/D")</f>
        <v>4.2699999999999996</v>
      </c>
      <c r="D22" s="19">
        <f>IFERROR('[1]income-statement_symbol=MSFT&amp;pe'!AK4,"N/D")</f>
        <v>5.16</v>
      </c>
      <c r="E22" s="19">
        <f>IFERROR('[1]income-statement_symbol=MSFT&amp;pe'!AK5,"N/D")</f>
        <v>3.72</v>
      </c>
    </row>
    <row r="23" spans="1:5" ht="31.5" customHeight="1" x14ac:dyDescent="0.35">
      <c r="A23" s="20" t="s">
        <v>220</v>
      </c>
      <c r="B23" s="18">
        <v>0.91</v>
      </c>
      <c r="C23" s="18">
        <v>0.91</v>
      </c>
      <c r="D23" s="18">
        <v>0.91</v>
      </c>
      <c r="E23" s="18">
        <v>0.91</v>
      </c>
    </row>
    <row r="24" spans="1:5" ht="30" customHeight="1" x14ac:dyDescent="0.35">
      <c r="A24" s="79" t="s">
        <v>221</v>
      </c>
      <c r="B24" s="79"/>
      <c r="C24" s="79"/>
      <c r="D24" s="79"/>
      <c r="E24" s="79"/>
    </row>
    <row r="25" spans="1:5" ht="30" customHeight="1" x14ac:dyDescent="0.35">
      <c r="A25" s="14" t="s">
        <v>222</v>
      </c>
      <c r="B25" s="18">
        <f>IFERROR('[1]balance-sheet-statement_symbol='!I2,"N/D")</f>
        <v>20935000000</v>
      </c>
      <c r="C25" s="18">
        <f>IFERROR('[1]balance-sheet-statement_symbol='!I3,"N/D")</f>
        <v>32105000000</v>
      </c>
      <c r="D25" s="18">
        <f>IFERROR('[1]balance-sheet-statement_symbol='!I4,"N/D")</f>
        <v>24296000000</v>
      </c>
      <c r="E25" s="18">
        <f>IFERROR('[1]balance-sheet-statement_symbol='!I5,"N/D")</f>
        <v>28849000000</v>
      </c>
    </row>
    <row r="26" spans="1:5" ht="30" customHeight="1" x14ac:dyDescent="0.35">
      <c r="A26" s="11" t="s">
        <v>223</v>
      </c>
      <c r="B26" s="18">
        <f>IFERROR('[1]balance-sheet-statement_symbol='!R2,"N/D")</f>
        <v>207710000000</v>
      </c>
      <c r="C26" s="18">
        <f>IFERROR('[1]balance-sheet-statement_symbol='!R3,"N/D")</f>
        <v>175329000000</v>
      </c>
      <c r="D26" s="18">
        <f>IFERROR('[1]balance-sheet-statement_symbol='!R4,"N/D")</f>
        <v>180190000000</v>
      </c>
      <c r="E26" s="18">
        <f>IFERROR('[1]balance-sheet-statement_symbol='!R5,"N/D")</f>
        <v>189066000000</v>
      </c>
    </row>
    <row r="27" spans="1:5" ht="30" customHeight="1" x14ac:dyDescent="0.35">
      <c r="A27" s="14" t="s">
        <v>224</v>
      </c>
      <c r="B27" s="18">
        <f>IFERROR('[1]balance-sheet-statement_symbol='!AB2,"N/D")</f>
        <v>758376000000</v>
      </c>
      <c r="C27" s="18">
        <f>IFERROR('[1]balance-sheet-statement_symbol='!AB3,"N/D")</f>
        <v>694228000000</v>
      </c>
      <c r="D27" s="18">
        <f>IFERROR('[1]balance-sheet-statement_symbol='!AB4,"N/D")</f>
        <v>665302000000</v>
      </c>
      <c r="E27" s="18">
        <f>IFERROR('[1]balance-sheet-statement_symbol='!AB5,"N/D")</f>
        <v>636351000000</v>
      </c>
    </row>
    <row r="28" spans="1:5" ht="30" customHeight="1" x14ac:dyDescent="0.35">
      <c r="A28" s="11" t="s">
        <v>225</v>
      </c>
      <c r="B28" s="18">
        <f>IFERROR('[1]balance-sheet-statement_symbol='!AL2,"N/D")</f>
        <v>168825000000</v>
      </c>
      <c r="C28" s="18">
        <f>IFERROR('[1]balance-sheet-statement_symbol='!AL3,"N/D")</f>
        <v>136661000000</v>
      </c>
      <c r="D28" s="18">
        <f>IFERROR('[1]balance-sheet-statement_symbol='!AL4,"N/D")</f>
        <v>130005000000</v>
      </c>
      <c r="E28" s="18">
        <f>IFERROR('[1]balance-sheet-statement_symbol='!AL5,"N/D")</f>
        <v>134996000000</v>
      </c>
    </row>
    <row r="29" spans="1:5" ht="30" customHeight="1" x14ac:dyDescent="0.35">
      <c r="A29" s="14" t="s">
        <v>226</v>
      </c>
      <c r="B29" s="18">
        <f>IFERROR('[1]balance-sheet-statement_symbol='!BH2,"N/D")</f>
        <v>128808300000</v>
      </c>
      <c r="C29" s="18">
        <f>IFERROR('[1]balance-sheet-statement_symbol='!BH3,"N/D")</f>
        <v>125432000000</v>
      </c>
      <c r="D29" s="18">
        <f>IFERROR('[1]balance-sheet-statement_symbol='!BH4,"N/D")</f>
        <v>123278000000</v>
      </c>
      <c r="E29" s="18">
        <f>IFERROR('[1]balance-sheet-statement_symbol='!BH5,"N/D")</f>
        <v>120375000000</v>
      </c>
    </row>
    <row r="30" spans="1:5" ht="30" customHeight="1" x14ac:dyDescent="0.35">
      <c r="A30" s="11" t="s">
        <v>227</v>
      </c>
      <c r="B30" s="18">
        <f>IFERROR('[1]balance-sheet-statement_symbol='!AU2,"N/D")</f>
        <v>315989000000</v>
      </c>
      <c r="C30" s="18">
        <f>IFERROR('[1]balance-sheet-statement_symbol='!AU3,"N/D")</f>
        <v>279861000000</v>
      </c>
      <c r="D30" s="18">
        <f>IFERROR('[1]balance-sheet-statement_symbol='!AU4,"N/D")</f>
        <v>274427000000</v>
      </c>
      <c r="E30" s="18">
        <f>IFERROR('[1]balance-sheet-statement_symbol='!AU5,"N/D")</f>
        <v>273275000000</v>
      </c>
    </row>
    <row r="31" spans="1:5" ht="30" customHeight="1" x14ac:dyDescent="0.35">
      <c r="A31" s="14" t="s">
        <v>228</v>
      </c>
      <c r="B31" s="18">
        <f>IFERROR('[1]balance-sheet-statement_symbol='!BC2,"N/D")</f>
        <v>442387000000</v>
      </c>
      <c r="C31" s="18">
        <f>IFERROR('[1]balance-sheet-statement_symbol='!BC3,"N/D")</f>
        <v>414367000000</v>
      </c>
      <c r="D31" s="18">
        <f>IFERROR('[1]balance-sheet-statement_symbol='!BC4,"N/D")</f>
        <v>390875000000</v>
      </c>
      <c r="E31" s="18">
        <f>IFERROR('[1]balance-sheet-statement_symbol='!BC5,"N/D")</f>
        <v>363076000000</v>
      </c>
    </row>
    <row r="32" spans="1:5" ht="31.5" customHeight="1" x14ac:dyDescent="0.35">
      <c r="A32" s="16" t="s">
        <v>229</v>
      </c>
      <c r="B32" s="18">
        <f>IFERROR(B31/B10,"N/D")</f>
        <v>59.572717479127391</v>
      </c>
      <c r="C32" s="18">
        <f>IFERROR(C31/C10,"N/D")</f>
        <v>55.799488284406138</v>
      </c>
      <c r="D32" s="18">
        <f>IFERROR(D31/D10,"N/D")</f>
        <v>52.636008618367896</v>
      </c>
      <c r="E32" s="18">
        <f>IFERROR(E31/E10,"N/D")</f>
        <v>48.892539725289524</v>
      </c>
    </row>
    <row r="33" spans="1:5" ht="30" customHeight="1" x14ac:dyDescent="0.35">
      <c r="A33" s="79" t="s">
        <v>230</v>
      </c>
      <c r="B33" s="79"/>
      <c r="C33" s="79"/>
      <c r="D33" s="79"/>
      <c r="E33" s="79"/>
    </row>
    <row r="34" spans="1:5" ht="30" customHeight="1" x14ac:dyDescent="0.35">
      <c r="A34" s="11" t="s">
        <v>231</v>
      </c>
      <c r="B34" s="18">
        <f>IFERROR('[1]cash-flow-statement_symbol=MSFT'!S2,"N/D")</f>
        <v>55441000000</v>
      </c>
      <c r="C34" s="18">
        <f>IFERROR('[1]cash-flow-statement_symbol=MSFT'!S3,"N/D")</f>
        <v>46679000000</v>
      </c>
      <c r="D34" s="18">
        <f>IFERROR('[1]cash-flow-statement_symbol=MSFT'!S4,"N/D")</f>
        <v>35758000000</v>
      </c>
      <c r="E34" s="18">
        <f>IFERROR('[1]cash-flow-statement_symbol=MSFT'!S5,"N/D")</f>
        <v>45057000000</v>
      </c>
    </row>
    <row r="35" spans="1:5" ht="30" customHeight="1" x14ac:dyDescent="0.35">
      <c r="A35" s="14" t="s">
        <v>232</v>
      </c>
      <c r="B35" s="18">
        <f>IFERROR('[1]cash-flow-statement_symbol=MSFT'!AR2,"N/D")</f>
        <v>-35802000000</v>
      </c>
      <c r="C35" s="18">
        <f>IFERROR('[1]cash-flow-statement_symbol=MSFT'!AR3,"N/D")</f>
        <v>-30876000000</v>
      </c>
      <c r="D35" s="18">
        <f>IFERROR('[1]cash-flow-statement_symbol=MSFT'!AR4,"N/D")</f>
        <v>-29876000000</v>
      </c>
      <c r="E35" s="18">
        <f>IFERROR('[1]cash-flow-statement_symbol=MSFT'!AR5,"N/D")</f>
        <v>-19394000000</v>
      </c>
    </row>
    <row r="36" spans="1:5" ht="30" customHeight="1" x14ac:dyDescent="0.35">
      <c r="A36" s="11" t="s">
        <v>233</v>
      </c>
      <c r="B36" s="18">
        <f>IFERROR('[1]cash-flow-statement_symbol=MSFT'!AS2,"N/D")</f>
        <v>19639000000</v>
      </c>
      <c r="C36" s="18">
        <f>IFERROR('[1]cash-flow-statement_symbol=MSFT'!AS3,"N/D")</f>
        <v>15803000000</v>
      </c>
      <c r="D36" s="18">
        <f>IFERROR('[1]cash-flow-statement_symbol=MSFT'!AS4,"N/D")</f>
        <v>5882000000</v>
      </c>
      <c r="E36" s="18">
        <f>IFERROR('[1]cash-flow-statement_symbol=MSFT'!AS5,"N/D")</f>
        <v>25663000000</v>
      </c>
    </row>
    <row r="37" spans="1:5" ht="30" customHeight="1" x14ac:dyDescent="0.35">
      <c r="A37" s="14" t="s">
        <v>234</v>
      </c>
      <c r="B37" s="18">
        <f>IFERROR('[1]cash-flow-statement_symbol=MSFT'!AI2,"N/D")</f>
        <v>-6758000000</v>
      </c>
      <c r="C37" s="18">
        <f>IFERROR('[1]cash-flow-statement_symbol=MSFT'!AI3,"N/D")</f>
        <v>-6756000000</v>
      </c>
      <c r="D37" s="18">
        <f>IFERROR('[1]cash-flow-statement_symbol=MSFT'!AI4,"N/D")</f>
        <v>-6762000000</v>
      </c>
      <c r="E37" s="18">
        <f>IFERROR('[1]cash-flow-statement_symbol=MSFT'!AI5,"N/D")</f>
        <v>-6169000000</v>
      </c>
    </row>
    <row r="38" spans="1:5" ht="22.5" customHeight="1" x14ac:dyDescent="0.35">
      <c r="A38" s="11" t="s">
        <v>235</v>
      </c>
      <c r="B38" s="18">
        <f>IFERROR('[1]cash-flow-statement_symbol=MSFT'!AF2,"N/D")</f>
        <v>-4579000000</v>
      </c>
      <c r="C38" s="18">
        <f>IFERROR('[1]cash-flow-statement_symbol=MSFT'!AF3,"N/D")</f>
        <v>-4627000000</v>
      </c>
      <c r="D38" s="18">
        <f>IFERROR('[1]cash-flow-statement_symbol=MSFT'!AF4,"N/D")</f>
        <v>-7415000000</v>
      </c>
      <c r="E38" s="18">
        <f>IFERROR('[1]cash-flow-statement_symbol=MSFT'!AF5,"N/D")</f>
        <v>-5650000000</v>
      </c>
    </row>
    <row r="39" spans="1:5" ht="18" customHeight="1" x14ac:dyDescent="0.35">
      <c r="A39" s="80"/>
      <c r="B39" s="80"/>
      <c r="C39" s="80"/>
      <c r="D39" s="80"/>
      <c r="E39" s="80"/>
    </row>
    <row r="40" spans="1:5" ht="25" customHeight="1" x14ac:dyDescent="0.35">
      <c r="A40" s="81" t="s">
        <v>445</v>
      </c>
      <c r="B40" s="81"/>
      <c r="C40" s="81"/>
      <c r="D40" s="81"/>
      <c r="E40" s="81"/>
    </row>
    <row r="41" spans="1:5" ht="30" customHeight="1" x14ac:dyDescent="0.35">
      <c r="A41" s="78" t="s">
        <v>446</v>
      </c>
      <c r="B41" s="78"/>
      <c r="C41" s="78"/>
      <c r="D41" s="78"/>
      <c r="E41" s="78"/>
    </row>
  </sheetData>
  <mergeCells count="9">
    <mergeCell ref="A41:E41"/>
    <mergeCell ref="A33:E33"/>
    <mergeCell ref="A39:E39"/>
    <mergeCell ref="A40:E40"/>
    <mergeCell ref="A1:E1"/>
    <mergeCell ref="A2:E2"/>
    <mergeCell ref="A5:E5"/>
    <mergeCell ref="A11:E11"/>
    <mergeCell ref="A24:E24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3"/>
  <sheetViews>
    <sheetView zoomScale="96" zoomScaleNormal="96" zoomScaleSheetLayoutView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7" sqref="G7"/>
    </sheetView>
  </sheetViews>
  <sheetFormatPr defaultColWidth="8.6328125" defaultRowHeight="14.5" x14ac:dyDescent="0.35"/>
  <cols>
    <col min="1" max="1" width="35" customWidth="1"/>
    <col min="2" max="4" width="14" customWidth="1"/>
    <col min="5" max="5" width="15.453125" customWidth="1"/>
    <col min="6" max="6" width="30" customWidth="1"/>
    <col min="7" max="7" width="22" customWidth="1"/>
  </cols>
  <sheetData>
    <row r="1" spans="1:7" ht="36" customHeight="1" x14ac:dyDescent="0.35">
      <c r="A1" s="82" t="s">
        <v>236</v>
      </c>
      <c r="B1" s="82"/>
      <c r="C1" s="82"/>
      <c r="D1" s="82"/>
      <c r="E1" s="82"/>
      <c r="F1" s="82"/>
      <c r="G1" s="82"/>
    </row>
    <row r="2" spans="1:7" ht="18" customHeight="1" x14ac:dyDescent="0.35">
      <c r="A2" s="83" t="s">
        <v>237</v>
      </c>
      <c r="B2" s="83"/>
      <c r="C2" s="83"/>
      <c r="D2" s="83"/>
      <c r="E2" s="83"/>
      <c r="F2" s="83"/>
      <c r="G2" s="83"/>
    </row>
    <row r="3" spans="1:7" ht="18" customHeight="1" x14ac:dyDescent="0.35">
      <c r="A3" s="87" t="s">
        <v>238</v>
      </c>
      <c r="B3" s="87"/>
      <c r="C3" s="87"/>
      <c r="D3" s="87"/>
      <c r="E3" s="87"/>
      <c r="F3" s="87"/>
      <c r="G3" s="87"/>
    </row>
    <row r="4" spans="1:7" ht="27.75" customHeight="1" x14ac:dyDescent="0.35">
      <c r="A4" s="4" t="s">
        <v>239</v>
      </c>
      <c r="B4" s="4" t="s">
        <v>240</v>
      </c>
      <c r="C4" s="4" t="s">
        <v>54</v>
      </c>
      <c r="D4" s="4" t="s">
        <v>50</v>
      </c>
      <c r="E4" s="4" t="s">
        <v>199</v>
      </c>
      <c r="F4" s="4" t="s">
        <v>241</v>
      </c>
      <c r="G4" s="4" t="s">
        <v>242</v>
      </c>
    </row>
    <row r="5" spans="1:7" ht="21.75" customHeight="1" x14ac:dyDescent="0.35">
      <c r="A5" s="21" t="s">
        <v>243</v>
      </c>
      <c r="B5" s="22" t="str">
        <f>TEXT('[1]income-statement_symbol=MSFT&amp;pe'!A2,"DD/MM/YYYY")</f>
        <v>30/06/2026</v>
      </c>
      <c r="C5" s="22" t="str">
        <f>TEXT('[1]income-statement_symbol=MSFT&amp;pe'!A3,"DD/MM/YYYY")</f>
        <v>31/03/2026</v>
      </c>
      <c r="D5" s="22" t="str">
        <f>TEXT('[1]income-statement_symbol=MSFT&amp;pe'!A4,"DD/MM/YYYY")</f>
        <v>31/12/2025</v>
      </c>
      <c r="E5" s="22" t="str">
        <f>TEXT('[1]income-statement_symbol=MSFT&amp;pe'!A5,"DD/MM/YYYY")</f>
        <v>30/09/2025</v>
      </c>
      <c r="F5" s="21"/>
      <c r="G5" s="21"/>
    </row>
    <row r="6" spans="1:7" ht="31.5" customHeight="1" x14ac:dyDescent="0.35">
      <c r="A6" s="84" t="s">
        <v>244</v>
      </c>
      <c r="B6" s="84"/>
      <c r="C6" s="84"/>
      <c r="D6" s="84"/>
      <c r="E6" s="84"/>
      <c r="F6" s="84"/>
      <c r="G6" s="84"/>
    </row>
    <row r="7" spans="1:7" ht="31.5" customHeight="1" x14ac:dyDescent="0.35">
      <c r="A7" s="14" t="s">
        <v>245</v>
      </c>
      <c r="B7" s="23">
        <f>IFERROR(Input_Data!B9/(Input_Data!B22*4),"N/A")</f>
        <v>25.059895833333332</v>
      </c>
      <c r="C7" s="23">
        <f>IFERROR(Input_Data!C9/(Input_Data!C22*4),"N/A")</f>
        <v>21.631147540983608</v>
      </c>
      <c r="D7" s="23">
        <f>IFERROR(Input_Data!D9/(Input_Data!D22*4),"N/A")</f>
        <v>23.432170542635657</v>
      </c>
      <c r="E7" s="23">
        <f>IFERROR(Input_Data!E9/(Input_Data!E22*4),"N/A")</f>
        <v>34.924731182795696</v>
      </c>
      <c r="F7" s="24" t="s">
        <v>246</v>
      </c>
      <c r="G7" s="25" t="str">
        <f>IFERROR(IF(Input_Data!B9=0,"⚪ N/A",IF(Input_Data!B9/(Input_Data!B22*4)&lt;15,"🟢 GOOD",IF(Input_Data!B9/(Input_Data!B22*4)&lt;25,"🟡 REVIEW","🔴 ALERT"))),"⚪ N/A")</f>
        <v>🔴 ALERT</v>
      </c>
    </row>
    <row r="8" spans="1:7" ht="31.5" customHeight="1" x14ac:dyDescent="0.35">
      <c r="A8" s="14" t="s">
        <v>247</v>
      </c>
      <c r="B8" s="26">
        <f>IFERROR(Input_Data!B9/Input_Data!B32,"N/D")</f>
        <v>8.0766837633113084</v>
      </c>
      <c r="C8" s="26">
        <f>IFERROR(Input_Data!C9/Input_Data!C32,"N/D")</f>
        <v>6.6212076733909795</v>
      </c>
      <c r="D8" s="26">
        <f>IFERROR(Input_Data!D9/Input_Data!D32,"N/D")</f>
        <v>9.1883866709306048</v>
      </c>
      <c r="E8" s="26">
        <f>IFERROR(Input_Data!E9/Input_Data!E32,"N/D")</f>
        <v>10.629024446672322</v>
      </c>
      <c r="F8" s="24" t="s">
        <v>248</v>
      </c>
      <c r="G8" s="25" t="str">
        <f>IFERROR(IF(Input_Data!B9=0,"⚪ N/A",IF(Input_Data!B9/Input_Data!B32&lt;1.5,"🟢 GOOD",IF(Input_Data!B9/Input_Data!B32&lt;3,"🟡 REVIEW","🔴 ALERT"))),"⚪ N/A")</f>
        <v>🔴 ALERT</v>
      </c>
    </row>
    <row r="9" spans="1:7" ht="31.5" customHeight="1" x14ac:dyDescent="0.35">
      <c r="A9" s="79" t="s">
        <v>249</v>
      </c>
      <c r="B9" s="79"/>
      <c r="C9" s="79"/>
      <c r="D9" s="79"/>
      <c r="E9" s="79"/>
      <c r="F9" s="79"/>
      <c r="G9" s="79"/>
    </row>
    <row r="10" spans="1:7" ht="31.5" customHeight="1" x14ac:dyDescent="0.35">
      <c r="A10" s="11" t="s">
        <v>250</v>
      </c>
      <c r="B10" s="27">
        <f>IFERROR(Input_Data!B14/Input_Data!B12,"N/D")</f>
        <v>0.67196995789216396</v>
      </c>
      <c r="C10" s="27">
        <f>IFERROR(Input_Data!C14/Input_Data!C12,"N/D")</f>
        <v>0.67632652076345823</v>
      </c>
      <c r="D10" s="27">
        <f>IFERROR(Input_Data!D14/Input_Data!D12,"N/D")</f>
        <v>0.68036125158416694</v>
      </c>
      <c r="E10" s="27">
        <f>IFERROR(Input_Data!E14/Input_Data!E12,"N/D")</f>
        <v>0.69045871795862135</v>
      </c>
      <c r="F10" s="28" t="s">
        <v>251</v>
      </c>
      <c r="G10" s="25" t="str">
        <f>IFERROR(IF(Input_Data!B14/Input_Data!B12&gt;0.4,"🟢 GOOD",IF(Input_Data!B14/Input_Data!B12&gt;0.2,"🟡 REVIEW","🔴 ALERT")),"⚪ N/A")</f>
        <v>🟢 GOOD</v>
      </c>
    </row>
    <row r="11" spans="1:7" ht="31.5" customHeight="1" x14ac:dyDescent="0.35">
      <c r="A11" s="14" t="s">
        <v>252</v>
      </c>
      <c r="B11" s="29">
        <f>IFERROR(Input_Data!B17/Input_Data!B12,"N/D")</f>
        <v>0.49869454597975715</v>
      </c>
      <c r="C11" s="29">
        <f>IFERROR(Input_Data!C17/Input_Data!C12,"N/D")</f>
        <v>0.48401418816205388</v>
      </c>
      <c r="D11" s="29">
        <f>IFERROR(Input_Data!D17/Input_Data!D12,"N/D")</f>
        <v>0.60268477846271207</v>
      </c>
      <c r="E11" s="29">
        <f>IFERROR(Input_Data!E17/Input_Data!E12,"N/D")</f>
        <v>0.45059415755796739</v>
      </c>
      <c r="F11" s="24" t="s">
        <v>253</v>
      </c>
      <c r="G11" s="25" t="str">
        <f>IFERROR(IF(Input_Data!B17/Input_Data!B12&gt;0.15,"🟢 GOOD",IF(Input_Data!B17/Input_Data!B12&gt;0.08,"🟡 REVIEW","🔴 ALERT")),"⚪ N/A")</f>
        <v>🟢 GOOD</v>
      </c>
    </row>
    <row r="12" spans="1:7" ht="31.5" customHeight="1" x14ac:dyDescent="0.35">
      <c r="A12" s="11" t="s">
        <v>254</v>
      </c>
      <c r="B12" s="27">
        <f>IFERROR(Input_Data!B21/Input_Data!B12,"N/D")</f>
        <v>0.39736909351494881</v>
      </c>
      <c r="C12" s="27">
        <f>IFERROR(Input_Data!C21/Input_Data!C12,"N/D")</f>
        <v>0.38339405931037812</v>
      </c>
      <c r="D12" s="27">
        <f>IFERROR(Input_Data!D21/Input_Data!D12,"N/D")</f>
        <v>0.47319528010532402</v>
      </c>
      <c r="E12" s="27">
        <f>IFERROR(Input_Data!E21/Input_Data!E12,"N/D")</f>
        <v>0.35722838051832684</v>
      </c>
      <c r="F12" s="28" t="s">
        <v>255</v>
      </c>
      <c r="G12" s="25" t="str">
        <f>IFERROR(IF(Input_Data!B21/Input_Data!B12&gt;0.1,"🟢 GOOD",IF(Input_Data!B21/Input_Data!B12&gt;0.05,"🟡 REVIEW","🔴 ALERT")),"⚪ N/A")</f>
        <v>🟢 GOOD</v>
      </c>
    </row>
    <row r="13" spans="1:7" ht="31.5" customHeight="1" x14ac:dyDescent="0.35">
      <c r="A13" s="14" t="s">
        <v>256</v>
      </c>
      <c r="B13" s="29">
        <f>IFERROR(Input_Data!B21/Input_Data!B31,"N/D")</f>
        <v>8.0847764513875861E-2</v>
      </c>
      <c r="C13" s="29">
        <f>IFERROR(Input_Data!C21/Input_Data!C31,"N/D")</f>
        <v>7.6690470042257222E-2</v>
      </c>
      <c r="D13" s="29">
        <f>IFERROR(Input_Data!D21/Input_Data!D31,"N/D")</f>
        <v>9.8389510713143585E-2</v>
      </c>
      <c r="E13" s="29">
        <f>IFERROR(Input_Data!E21/Input_Data!E31,"N/D")</f>
        <v>7.6422016327160155E-2</v>
      </c>
      <c r="F13" s="24" t="s">
        <v>257</v>
      </c>
      <c r="G13" s="25" t="str">
        <f>IFERROR(IF(Input_Data!B21/Input_Data!B31&gt;0.15,"🟢 GOOD",IF(Input_Data!B21/Input_Data!B31&gt;0.1,"🟡 REVIEW","🔴 ALERT")),"⚪ N/A")</f>
        <v>🔴 ALERT</v>
      </c>
    </row>
    <row r="14" spans="1:7" ht="31.5" customHeight="1" x14ac:dyDescent="0.35">
      <c r="A14" s="79" t="s">
        <v>258</v>
      </c>
      <c r="B14" s="79"/>
      <c r="C14" s="79"/>
      <c r="D14" s="79"/>
      <c r="E14" s="79"/>
      <c r="F14" s="79"/>
      <c r="G14" s="79"/>
    </row>
    <row r="15" spans="1:7" ht="31.5" customHeight="1" x14ac:dyDescent="0.35">
      <c r="A15" s="14" t="s">
        <v>259</v>
      </c>
      <c r="B15" s="23">
        <f>IFERROR(Input_Data!B26/Input_Data!B28,"N/D")</f>
        <v>1.2303272619576484</v>
      </c>
      <c r="C15" s="23">
        <f>IFERROR(Input_Data!C26/Input_Data!C28,"N/D")</f>
        <v>1.2829483173692569</v>
      </c>
      <c r="D15" s="23">
        <f>IFERROR(Input_Data!D26/Input_Data!D28,"N/D")</f>
        <v>1.3860236144763662</v>
      </c>
      <c r="E15" s="23">
        <f>IFERROR(Input_Data!E26/Input_Data!E28,"N/D")</f>
        <v>1.4005303860855136</v>
      </c>
      <c r="F15" s="24" t="s">
        <v>260</v>
      </c>
      <c r="G15" s="25" t="str">
        <f>IFERROR(IF(Input_Data!B26/Input_Data!B28&gt;2,"🟢 GOOD",IF(Input_Data!B26/Input_Data!B28&gt;=1,"🟡 REVIEW","🔴 ALERT")),"⚪ N/A")</f>
        <v>🟡 REVIEW</v>
      </c>
    </row>
    <row r="16" spans="1:7" ht="31.5" customHeight="1" x14ac:dyDescent="0.35">
      <c r="A16" s="11" t="s">
        <v>261</v>
      </c>
      <c r="B16" s="26">
        <f>IFERROR(Input_Data!B29/Input_Data!B31,"N/D")</f>
        <v>0.29116655778763845</v>
      </c>
      <c r="C16" s="26">
        <f>IFERROR(Input_Data!C29/Input_Data!C31,"N/D")</f>
        <v>0.30270750325194817</v>
      </c>
      <c r="D16" s="26">
        <f>IFERROR(Input_Data!D29/Input_Data!D31,"N/D")</f>
        <v>0.31538983050847458</v>
      </c>
      <c r="E16" s="26">
        <f>IFERROR(Input_Data!E29/Input_Data!E31,"N/D")</f>
        <v>0.33154215646310964</v>
      </c>
      <c r="F16" s="28" t="s">
        <v>262</v>
      </c>
      <c r="G16" s="25" t="str">
        <f>IFERROR(IF(Input_Data!B29/Input_Data!B31&lt;0.5,"🟢 GOOD",IF(Input_Data!B29/Input_Data!B31&lt;1.5,"🟡 REVIEW","🔴 ALERT")),"⚪ N/A")</f>
        <v>🟢 GOOD</v>
      </c>
    </row>
    <row r="17" spans="1:7" ht="31.5" customHeight="1" x14ac:dyDescent="0.35">
      <c r="A17" s="14" t="s">
        <v>263</v>
      </c>
      <c r="B17" s="23">
        <f>IFERROR(Input_Data!B29/Input_Data!B16,"N/D")</f>
        <v>2.5259501117778562</v>
      </c>
      <c r="C17" s="23">
        <f>IFERROR(Input_Data!C29/Input_Data!C16,"N/D")</f>
        <v>2.4944217957641444</v>
      </c>
      <c r="D17" s="23">
        <f>IFERROR(Input_Data!D29/Input_Data!D16,"N/D")</f>
        <v>2.1189068408387763</v>
      </c>
      <c r="E17" s="23">
        <f>IFERROR(Input_Data!E29/Input_Data!E16,"N/D")</f>
        <v>2.5046816479400751</v>
      </c>
      <c r="F17" s="24" t="s">
        <v>264</v>
      </c>
      <c r="G17" s="25" t="str">
        <f>IFERROR(IF(Input_Data!B29/Input_Data!B16&lt;2,"🟢 GOOD",IF(Input_Data!B29/Input_Data!B16&lt;4,"🟡 REVIEW","🔴 ALERT")),"⚪ N/A")</f>
        <v>🟡 REVIEW</v>
      </c>
    </row>
    <row r="18" spans="1:7" ht="31.5" customHeight="1" x14ac:dyDescent="0.35">
      <c r="A18" s="11" t="s">
        <v>265</v>
      </c>
      <c r="B18" s="26">
        <f>IFERROR(Input_Data!B17/Input_Data!B18,"N/D")</f>
        <v>53.499404052443388</v>
      </c>
      <c r="C18" s="26">
        <f>IFERROR(Input_Data!C17/Input_Data!C18,"N/D")</f>
        <v>51.565552699228789</v>
      </c>
      <c r="D18" s="26">
        <f>IFERROR(Input_Data!D17/Input_Data!D18,"N/D")</f>
        <v>66.551630434782609</v>
      </c>
      <c r="E18" s="26">
        <f>IFERROR(Input_Data!E17/Input_Data!E18,"N/D")</f>
        <v>50.141833810888251</v>
      </c>
      <c r="F18" s="28" t="s">
        <v>266</v>
      </c>
      <c r="G18" s="25" t="str">
        <f>IFERROR(IF(Input_Data!B17/Input_Data!B18&gt;3,"🟢 GOOD",IF(Input_Data!B17/Input_Data!B18&gt;=1.5,"🟡 REVIEW","🔴 ALERT")),"⚪ N/A")</f>
        <v>🟢 GOOD</v>
      </c>
    </row>
    <row r="19" spans="1:7" ht="31.5" customHeight="1" x14ac:dyDescent="0.35">
      <c r="A19" s="79" t="s">
        <v>267</v>
      </c>
      <c r="B19" s="79"/>
      <c r="C19" s="79"/>
      <c r="D19" s="79"/>
      <c r="E19" s="79"/>
      <c r="F19" s="79"/>
      <c r="G19" s="79"/>
    </row>
    <row r="20" spans="1:7" ht="31.5" customHeight="1" x14ac:dyDescent="0.35">
      <c r="A20" s="11" t="s">
        <v>268</v>
      </c>
      <c r="B20" s="27">
        <f>IFERROR(Input_Data!B23/Input_Data!B9,"N/D")</f>
        <v>1.8913020887457136E-3</v>
      </c>
      <c r="C20" s="27">
        <f>IFERROR(Input_Data!C23/Input_Data!C9,"N/D")</f>
        <v>2.4630541871921183E-3</v>
      </c>
      <c r="D20" s="27">
        <f>IFERROR(Input_Data!D23/Input_Data!D9,"N/D")</f>
        <v>1.8815648002646597E-3</v>
      </c>
      <c r="E20" s="27">
        <f>IFERROR(Input_Data!E23/Input_Data!E9,"N/D")</f>
        <v>1.7510775862068968E-3</v>
      </c>
      <c r="F20" s="28" t="s">
        <v>269</v>
      </c>
      <c r="G20" s="25" t="str">
        <f>IFERROR(IF(Input_Data!B9=0,"⚪ N/A",IF(Input_Data!B23/Input_Data!B9&gt;0.02,"🟢 GOOD",IF(Input_Data!B23/Input_Data!B9&gt;0,"🟡 REVIEW","⚪ NO DIV"))),"⚪ N/A")</f>
        <v>🟡 REVIEW</v>
      </c>
    </row>
    <row r="21" spans="1:7" ht="31.5" customHeight="1" x14ac:dyDescent="0.35">
      <c r="A21" s="14" t="s">
        <v>270</v>
      </c>
      <c r="B21" s="29">
        <f>IFERROR(Input_Data!B36/(Input_Data!B9*Input_Data!B10),"N/D")</f>
        <v>5.4964709264563568E-3</v>
      </c>
      <c r="C21" s="29">
        <f>IFERROR(Input_Data!C36/(Input_Data!C9*Input_Data!C10),"N/D")</f>
        <v>5.7599295200109271E-3</v>
      </c>
      <c r="D21" s="29">
        <f>IFERROR(Input_Data!D36/(Input_Data!D9*Input_Data!D10),"N/D")</f>
        <v>1.6377509604148075E-3</v>
      </c>
      <c r="E21" s="29">
        <f>IFERROR(Input_Data!E36/(Input_Data!E9*Input_Data!E10),"N/D")</f>
        <v>6.6499208446159754E-3</v>
      </c>
      <c r="F21" s="24" t="s">
        <v>271</v>
      </c>
      <c r="G21" s="25" t="str">
        <f>IFERROR(IF(Input_Data!B9=0,"⚪ N/A",IF(Input_Data!B36/(Input_Data!B9*Input_Data!B10)&gt;0.05,"🟢 GOOD",IF(Input_Data!B36/(Input_Data!B9*Input_Data!B10)&gt;0.02,"🟡 REVIEW","🔴 ALERT"))),"⚪ N/A")</f>
        <v>🔴 ALERT</v>
      </c>
    </row>
    <row r="22" spans="1:7" ht="18" customHeight="1" x14ac:dyDescent="0.35">
      <c r="A22" s="93"/>
      <c r="B22" s="93"/>
      <c r="C22" s="93"/>
      <c r="D22" s="93"/>
      <c r="E22" s="93"/>
      <c r="F22" s="93"/>
      <c r="G22" s="93"/>
    </row>
    <row r="23" spans="1:7" ht="39.75" customHeight="1" x14ac:dyDescent="0.35">
      <c r="A23" s="94" t="s">
        <v>272</v>
      </c>
      <c r="B23" s="94"/>
      <c r="C23" s="94"/>
      <c r="D23" s="94"/>
      <c r="E23" s="94"/>
      <c r="F23" s="94"/>
      <c r="G23" s="94"/>
    </row>
  </sheetData>
  <mergeCells count="9">
    <mergeCell ref="A14:G14"/>
    <mergeCell ref="A19:G19"/>
    <mergeCell ref="A22:G22"/>
    <mergeCell ref="A23:G23"/>
    <mergeCell ref="A1:G1"/>
    <mergeCell ref="A2:G2"/>
    <mergeCell ref="A3:G3"/>
    <mergeCell ref="A6:G6"/>
    <mergeCell ref="A9:G9"/>
  </mergeCells>
  <conditionalFormatting sqref="G7:G21">
    <cfRule type="expression" dxfId="16" priority="2">
      <formula>NOT(ISERROR(SEARCH("BUENO",G7)))</formula>
    </cfRule>
    <cfRule type="expression" dxfId="15" priority="3">
      <formula>NOT(ISERROR(SEARCH("REVISAR",G7)))</formula>
    </cfRule>
    <cfRule type="expression" dxfId="14" priority="4">
      <formula>NOT(ISERROR(SEARCH("ALERTA",G7)))</formula>
    </cfRule>
    <cfRule type="expression" dxfId="13" priority="5">
      <formula>NOT(ISERROR(SEARCH("GOOD",G7)))</formula>
    </cfRule>
    <cfRule type="expression" dxfId="12" priority="6">
      <formula>NOT(ISERROR(SEARCH("REVIEW",G7)))</formula>
    </cfRule>
    <cfRule type="expression" dxfId="11" priority="7">
      <formula>NOT(ISERROR(SEARCH("ALERT",G7)))</formula>
    </cfRule>
    <cfRule type="expression" dxfId="10" priority="8">
      <formula>OR(NOT(ISERROR(SEARCH("N/A",G7))),NOT(ISERROR(SEARCH("NO ",G7))))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3"/>
  <sheetViews>
    <sheetView topLeftCell="A22" zoomScale="94" zoomScaleNormal="94" workbookViewId="0">
      <selection activeCell="B34" sqref="B34"/>
    </sheetView>
  </sheetViews>
  <sheetFormatPr defaultColWidth="8.6328125" defaultRowHeight="14.5" x14ac:dyDescent="0.35"/>
  <cols>
    <col min="1" max="1" width="42" customWidth="1"/>
    <col min="2" max="2" width="20" customWidth="1"/>
    <col min="3" max="4" width="22" customWidth="1"/>
    <col min="5" max="5" width="24.6328125" customWidth="1"/>
  </cols>
  <sheetData>
    <row r="1" spans="1:5" ht="33.75" customHeight="1" x14ac:dyDescent="0.35">
      <c r="A1" s="95" t="s">
        <v>273</v>
      </c>
      <c r="B1" s="95"/>
      <c r="C1" s="95"/>
      <c r="D1" s="95"/>
      <c r="E1" s="95"/>
    </row>
    <row r="2" spans="1:5" ht="18" customHeight="1" x14ac:dyDescent="0.35">
      <c r="A2" s="96" t="s">
        <v>274</v>
      </c>
      <c r="B2" s="96"/>
      <c r="C2" s="96"/>
      <c r="D2" s="96"/>
      <c r="E2" s="96"/>
    </row>
    <row r="3" spans="1:5" ht="21.75" customHeight="1" x14ac:dyDescent="0.35">
      <c r="A3" s="97" t="s">
        <v>275</v>
      </c>
      <c r="B3" s="97"/>
      <c r="C3" s="97"/>
      <c r="D3" s="97"/>
      <c r="E3" s="97"/>
    </row>
    <row r="4" spans="1:5" ht="24" customHeight="1" x14ac:dyDescent="0.35">
      <c r="A4" s="4" t="s">
        <v>198</v>
      </c>
      <c r="B4" s="4" t="s">
        <v>276</v>
      </c>
      <c r="C4" s="4" t="s">
        <v>277</v>
      </c>
      <c r="D4" s="4"/>
      <c r="E4" s="4"/>
    </row>
    <row r="5" spans="1:5" ht="27.75" customHeight="1" x14ac:dyDescent="0.35">
      <c r="A5" s="14" t="s">
        <v>278</v>
      </c>
      <c r="B5" s="30">
        <v>467.2</v>
      </c>
      <c r="C5" s="98" t="s">
        <v>279</v>
      </c>
      <c r="D5" s="98"/>
      <c r="E5" s="98"/>
    </row>
    <row r="6" spans="1:5" ht="27.75" customHeight="1" x14ac:dyDescent="0.35">
      <c r="A6" s="11" t="s">
        <v>280</v>
      </c>
      <c r="B6" s="31">
        <v>3</v>
      </c>
      <c r="C6" s="99" t="s">
        <v>281</v>
      </c>
      <c r="D6" s="99"/>
      <c r="E6" s="99"/>
    </row>
    <row r="7" spans="1:5" ht="27.75" customHeight="1" x14ac:dyDescent="0.35">
      <c r="A7" s="14" t="s">
        <v>282</v>
      </c>
      <c r="B7" s="32">
        <f>B5*B6</f>
        <v>1401.6</v>
      </c>
      <c r="C7" s="100" t="s">
        <v>283</v>
      </c>
      <c r="D7" s="100"/>
      <c r="E7" s="100"/>
    </row>
    <row r="8" spans="1:5" ht="21.75" customHeight="1" x14ac:dyDescent="0.35">
      <c r="A8" s="101" t="s">
        <v>284</v>
      </c>
      <c r="B8" s="101"/>
      <c r="C8" s="101"/>
      <c r="D8" s="101"/>
      <c r="E8" s="101"/>
    </row>
    <row r="9" spans="1:5" ht="27.75" customHeight="1" x14ac:dyDescent="0.35">
      <c r="A9" s="14" t="s">
        <v>285</v>
      </c>
      <c r="B9" s="30">
        <v>481.15</v>
      </c>
      <c r="C9" s="100" t="s">
        <v>286</v>
      </c>
      <c r="D9" s="100"/>
      <c r="E9" s="100"/>
    </row>
    <row r="10" spans="1:5" ht="27.75" customHeight="1" x14ac:dyDescent="0.35">
      <c r="A10" s="11" t="s">
        <v>287</v>
      </c>
      <c r="B10" s="32">
        <f>B9*B6</f>
        <v>1443.4499999999998</v>
      </c>
      <c r="C10" s="99" t="s">
        <v>288</v>
      </c>
      <c r="D10" s="99"/>
      <c r="E10" s="99"/>
    </row>
    <row r="11" spans="1:5" ht="21.75" customHeight="1" x14ac:dyDescent="0.35">
      <c r="A11" s="101" t="s">
        <v>289</v>
      </c>
      <c r="B11" s="101"/>
      <c r="C11" s="101"/>
      <c r="D11" s="101"/>
      <c r="E11" s="101"/>
    </row>
    <row r="12" spans="1:5" ht="24" customHeight="1" x14ac:dyDescent="0.35">
      <c r="A12" s="14" t="s">
        <v>290</v>
      </c>
      <c r="B12" s="32">
        <f>B10-B7</f>
        <v>41.849999999999909</v>
      </c>
      <c r="C12" s="100" t="s">
        <v>291</v>
      </c>
      <c r="D12" s="100"/>
      <c r="E12" s="100"/>
    </row>
    <row r="13" spans="1:5" ht="24" customHeight="1" x14ac:dyDescent="0.35">
      <c r="A13" s="11" t="s">
        <v>292</v>
      </c>
      <c r="B13" s="33">
        <f>IFERROR(B10/B7-1,"N/D")</f>
        <v>2.9858732876712368E-2</v>
      </c>
      <c r="C13" s="99" t="s">
        <v>293</v>
      </c>
      <c r="D13" s="99"/>
      <c r="E13" s="99"/>
    </row>
    <row r="14" spans="1:5" ht="24" customHeight="1" x14ac:dyDescent="0.35">
      <c r="A14" s="14" t="s">
        <v>294</v>
      </c>
      <c r="B14" s="32">
        <f>IFERROR((B10-B7)/B6,"N/D")</f>
        <v>13.949999999999969</v>
      </c>
      <c r="C14" s="100" t="s">
        <v>295</v>
      </c>
      <c r="D14" s="100"/>
      <c r="E14" s="100"/>
    </row>
    <row r="15" spans="1:5" ht="24" customHeight="1" x14ac:dyDescent="0.35">
      <c r="A15" s="11" t="s">
        <v>296</v>
      </c>
      <c r="B15" s="34" t="str">
        <f>IF(B9&gt;B5,"✅ YES — current price &gt; purchase price","❌ NO — current price &lt; purchase price")</f>
        <v>✅ YES — current price &gt; purchase price</v>
      </c>
      <c r="C15" s="99" t="s">
        <v>297</v>
      </c>
      <c r="D15" s="99"/>
      <c r="E15" s="99"/>
    </row>
    <row r="16" spans="1:5" ht="24" customHeight="1" x14ac:dyDescent="0.35">
      <c r="A16" s="14" t="s">
        <v>298</v>
      </c>
      <c r="B16" s="35">
        <f>B6*3.64</f>
        <v>10.92</v>
      </c>
      <c r="C16" s="100" t="s">
        <v>299</v>
      </c>
      <c r="D16" s="100"/>
      <c r="E16" s="100"/>
    </row>
    <row r="17" spans="1:5" ht="21.75" customHeight="1" x14ac:dyDescent="0.35">
      <c r="A17" s="101" t="s">
        <v>300</v>
      </c>
      <c r="B17" s="101"/>
      <c r="C17" s="101"/>
      <c r="D17" s="101"/>
      <c r="E17" s="101"/>
    </row>
    <row r="18" spans="1:5" ht="24" customHeight="1" x14ac:dyDescent="0.35">
      <c r="A18" s="14" t="s">
        <v>301</v>
      </c>
      <c r="B18" s="36" t="s">
        <v>302</v>
      </c>
      <c r="C18" s="100" t="s">
        <v>303</v>
      </c>
      <c r="D18" s="100"/>
      <c r="E18" s="100"/>
    </row>
    <row r="19" spans="1:5" ht="24" customHeight="1" x14ac:dyDescent="0.35">
      <c r="A19" s="11" t="s">
        <v>304</v>
      </c>
      <c r="B19" s="30">
        <v>569.55999999999995</v>
      </c>
      <c r="C19" s="99" t="s">
        <v>305</v>
      </c>
      <c r="D19" s="99"/>
      <c r="E19" s="99"/>
    </row>
    <row r="20" spans="1:5" ht="21.75" customHeight="1" x14ac:dyDescent="0.35">
      <c r="A20" s="97" t="s">
        <v>306</v>
      </c>
      <c r="B20" s="97"/>
      <c r="C20" s="97"/>
      <c r="D20" s="97"/>
      <c r="E20" s="97"/>
    </row>
    <row r="21" spans="1:5" ht="25.5" customHeight="1" x14ac:dyDescent="0.35">
      <c r="A21" s="4" t="s">
        <v>307</v>
      </c>
      <c r="B21" s="4" t="s">
        <v>308</v>
      </c>
      <c r="C21" s="4" t="s">
        <v>309</v>
      </c>
      <c r="D21" s="4" t="s">
        <v>432</v>
      </c>
      <c r="E21" s="4" t="s">
        <v>433</v>
      </c>
    </row>
    <row r="22" spans="1:5" ht="21.75" customHeight="1" x14ac:dyDescent="0.35">
      <c r="A22" s="37" t="s">
        <v>310</v>
      </c>
      <c r="B22" s="38">
        <f>IFERROR((B9-B5)/B5,"N/D")</f>
        <v>2.9858732876712306E-2</v>
      </c>
      <c r="C22" s="75">
        <f>IFERROR(72/(B22*100),"N/D")</f>
        <v>24.113548387096792</v>
      </c>
      <c r="D22" s="39">
        <f>IFERROR(B10*(1+B22)^5,"N/D")</f>
        <v>1672.2069533506854</v>
      </c>
      <c r="E22" s="39">
        <f>IFERROR(B10*(1+B22)^10,"N/D")</f>
        <v>1937.2171497692214</v>
      </c>
    </row>
    <row r="23" spans="1:5" ht="57.5" x14ac:dyDescent="0.35">
      <c r="A23" s="40" t="s">
        <v>431</v>
      </c>
      <c r="B23" s="41">
        <v>0.15</v>
      </c>
      <c r="C23" s="75">
        <f>IFERROR(72/(B23*100),"N/D")</f>
        <v>4.8</v>
      </c>
      <c r="D23" s="39">
        <f>IFERROR(B10*(1+B23)^5,"N/D")</f>
        <v>2903.2935322968738</v>
      </c>
      <c r="E23" s="39">
        <f>IFERROR(B10*(1+B23)^10,"N/D")</f>
        <v>5839.560313607577</v>
      </c>
    </row>
    <row r="24" spans="1:5" ht="21.75" customHeight="1" x14ac:dyDescent="0.35">
      <c r="A24" s="42" t="s">
        <v>311</v>
      </c>
      <c r="B24" s="43">
        <v>0.1</v>
      </c>
      <c r="C24" s="75">
        <f>IFERROR(72/(B24*100),"N/D")</f>
        <v>7.2</v>
      </c>
      <c r="D24" s="39">
        <f>IFERROR(B10*(1+B24)^5,"N/D")</f>
        <v>2324.6906595000005</v>
      </c>
      <c r="E24" s="39">
        <f>IFERROR(B10*(1+B24)^10,"N/D")</f>
        <v>3743.9375540313472</v>
      </c>
    </row>
    <row r="25" spans="1:5" ht="21.75" customHeight="1" x14ac:dyDescent="0.35">
      <c r="A25" s="44" t="s">
        <v>312</v>
      </c>
      <c r="B25" s="45">
        <v>7.0000000000000007E-2</v>
      </c>
      <c r="C25" s="75">
        <f>IFERROR(72/(B25*100),"N/D")</f>
        <v>10.285714285714285</v>
      </c>
      <c r="D25" s="39">
        <f>IFERROR(B10*(1+B25)^5,"N/D")</f>
        <v>2024.513295678915</v>
      </c>
      <c r="E25" s="39">
        <f>IFERROR(B10*(1+B25)^10,"N/D")</f>
        <v>2839.484626679623</v>
      </c>
    </row>
    <row r="27" spans="1:5" ht="24" customHeight="1" x14ac:dyDescent="0.35">
      <c r="A27" s="102" t="s">
        <v>313</v>
      </c>
      <c r="B27" s="102"/>
      <c r="C27" s="102"/>
      <c r="D27" s="102"/>
      <c r="E27" s="102"/>
    </row>
    <row r="28" spans="1:5" ht="18" customHeight="1" x14ac:dyDescent="0.35">
      <c r="A28" s="103" t="s">
        <v>314</v>
      </c>
      <c r="B28" s="103"/>
      <c r="C28" s="103"/>
      <c r="D28" s="103"/>
      <c r="E28" s="103"/>
    </row>
    <row r="29" spans="1:5" ht="27.75" customHeight="1" x14ac:dyDescent="0.35">
      <c r="A29" s="4" t="s">
        <v>315</v>
      </c>
      <c r="B29" s="4" t="s">
        <v>316</v>
      </c>
      <c r="C29" s="4" t="s">
        <v>317</v>
      </c>
      <c r="D29" s="4" t="s">
        <v>318</v>
      </c>
      <c r="E29" s="4" t="s">
        <v>242</v>
      </c>
    </row>
    <row r="30" spans="1:5" ht="18" customHeight="1" x14ac:dyDescent="0.35">
      <c r="A30" s="104" t="s">
        <v>319</v>
      </c>
      <c r="B30" s="104"/>
      <c r="C30" s="104"/>
      <c r="D30" s="104"/>
      <c r="E30" s="104"/>
    </row>
    <row r="31" spans="1:5" ht="27.75" customHeight="1" x14ac:dyDescent="0.35">
      <c r="A31" s="14" t="s">
        <v>320</v>
      </c>
      <c r="B31" s="46">
        <v>26.81</v>
      </c>
      <c r="C31" s="47" t="s">
        <v>321</v>
      </c>
      <c r="D31" s="48" t="s">
        <v>322</v>
      </c>
      <c r="E31" s="49" t="str">
        <f>IF(B31&lt;22,"🟢 ATTRACTIVE",IF(B31&gt;38,"🔴 EXPENSIVE","🟡 NORMAL"))</f>
        <v>🟡 NORMAL</v>
      </c>
    </row>
    <row r="32" spans="1:5" ht="27.75" customHeight="1" x14ac:dyDescent="0.35">
      <c r="A32" s="11" t="s">
        <v>323</v>
      </c>
      <c r="B32" s="46">
        <v>25.13</v>
      </c>
      <c r="C32" s="105" t="s">
        <v>324</v>
      </c>
      <c r="D32" s="105"/>
      <c r="E32" s="105"/>
    </row>
    <row r="33" spans="1:5" ht="34.5" x14ac:dyDescent="0.35">
      <c r="A33" s="14" t="s">
        <v>325</v>
      </c>
      <c r="B33" s="46">
        <v>30.635449999999999</v>
      </c>
      <c r="C33" s="106" t="s">
        <v>326</v>
      </c>
      <c r="D33" s="106"/>
      <c r="E33" s="106"/>
    </row>
    <row r="34" spans="1:5" ht="36" customHeight="1" x14ac:dyDescent="0.35">
      <c r="A34" s="50" t="s">
        <v>327</v>
      </c>
      <c r="B34" s="51">
        <f>IFERROR(B31/B33-1,"N/A")</f>
        <v>-0.12487004434405236</v>
      </c>
      <c r="C34" s="107" t="str">
        <f>IFERROR(IF(B31&lt;B33*0.9,"Trading "&amp;TEXT(ABS(1-B31/B33)*100,"0.0")&amp;"% cheaper than its historical average",IF(B31&gt;B33*1.1,"Trading "&amp;TEXT(ABS(1-B31/B33)*100,"0.0")&amp;"% more expensive than its historical average","Trading near its historical P/E average")),"N/A")</f>
        <v>Trading 12.5% cheaper than its historical average</v>
      </c>
      <c r="D34" s="107"/>
      <c r="E34" s="52" t="str">
        <f>IFERROR(IF(B31&lt;B33*0.9,"🟢 ATTRACTIVE",IF(B31&gt;B33*1.1,"🔴 EXPENSIVE","🟡 NORMAL")),"⚪ N/A")</f>
        <v>🟢 ATTRACTIVE</v>
      </c>
    </row>
    <row r="35" spans="1:5" ht="22.5" customHeight="1" x14ac:dyDescent="0.35">
      <c r="A35" s="11" t="s">
        <v>328</v>
      </c>
      <c r="B35" s="46">
        <v>8.1300000000000008</v>
      </c>
      <c r="C35" s="47" t="s">
        <v>329</v>
      </c>
      <c r="D35" s="48" t="s">
        <v>330</v>
      </c>
      <c r="E35" s="49" t="str">
        <f>IF(B35&lt;1.5,"🟢 ATTRACTIVE",IF(B35&gt;5,"🔴 EXPENSIVE","🟡 NORMAL"))</f>
        <v>🔴 EXPENSIVE</v>
      </c>
    </row>
    <row r="36" spans="1:5" ht="27.75" customHeight="1" x14ac:dyDescent="0.35">
      <c r="A36" s="110" t="s">
        <v>331</v>
      </c>
      <c r="B36" s="110"/>
      <c r="C36" s="110"/>
      <c r="D36" s="110"/>
      <c r="E36" s="110"/>
    </row>
    <row r="37" spans="1:5" ht="27.75" customHeight="1" x14ac:dyDescent="0.35">
      <c r="A37" s="14" t="s">
        <v>332</v>
      </c>
      <c r="B37" s="30">
        <v>349.2</v>
      </c>
      <c r="C37" s="111" t="s">
        <v>333</v>
      </c>
      <c r="D37" s="111"/>
      <c r="E37" s="53" t="s">
        <v>334</v>
      </c>
    </row>
    <row r="38" spans="1:5" ht="27.75" customHeight="1" x14ac:dyDescent="0.35">
      <c r="A38" s="11" t="s">
        <v>335</v>
      </c>
      <c r="B38" s="30">
        <v>553.72</v>
      </c>
      <c r="C38" s="112" t="s">
        <v>336</v>
      </c>
      <c r="D38" s="112"/>
      <c r="E38" s="54" t="s">
        <v>337</v>
      </c>
    </row>
    <row r="39" spans="1:5" ht="22.5" customHeight="1" x14ac:dyDescent="0.35">
      <c r="A39" s="14" t="s">
        <v>338</v>
      </c>
      <c r="B39" s="55">
        <f>IFERROR((B9-B37)/(B38-B37),"N/A")</f>
        <v>0.64516917660864448</v>
      </c>
      <c r="C39" s="47" t="s">
        <v>339</v>
      </c>
      <c r="D39" s="48" t="s">
        <v>340</v>
      </c>
      <c r="E39" s="49" t="str">
        <f>IFERROR(IF(B39&lt;0.33,"🟢 ATTRACTIVE",IF(B39&lt;0.67,"🟡 NORMAL","🔴 EXPENSIVE")),"⚪ N/A")</f>
        <v>🟡 NORMAL</v>
      </c>
    </row>
    <row r="40" spans="1:5" ht="39.75" customHeight="1" x14ac:dyDescent="0.35">
      <c r="A40" s="110" t="s">
        <v>341</v>
      </c>
      <c r="B40" s="110"/>
      <c r="C40" s="110"/>
      <c r="D40" s="110"/>
      <c r="E40" s="110"/>
    </row>
    <row r="41" spans="1:5" ht="34.5" x14ac:dyDescent="0.35">
      <c r="A41" s="14" t="s">
        <v>342</v>
      </c>
      <c r="B41" s="56">
        <f>IFERROR(B9*(B33/B31),"N/A")</f>
        <v>549.8040569750093</v>
      </c>
      <c r="C41" s="113" t="s">
        <v>343</v>
      </c>
      <c r="D41" s="113"/>
      <c r="E41" s="76" t="str">
        <f>IFERROR(IF(B9&lt;B41,"🟢 BUY ZONE",IF(B9&lt;B41*1.05,"🟡 CLOSE","🔴 WAIT")),"⚪ N/D")</f>
        <v>🟢 BUY ZONE</v>
      </c>
    </row>
    <row r="42" spans="1:5" ht="27.75" customHeight="1" x14ac:dyDescent="0.35">
      <c r="A42" s="108" t="str">
        <f>IF(AND(E31="🟢 ATTRACTIVE",E39="🟢 ATTRACTIVE"),"🟢 ATTRACTIVE MOMENT — P/E low and price near annual low",IF(AND(E31="🔴 EXPENSIVE",E39="🔴 EXPENSIVE"),"🔴 AVOID — P/E high and price near annual high","🟡 NEUTRAL — review individual indicators above"))</f>
        <v>🟡 NEUTRAL — review individual indicators above</v>
      </c>
      <c r="B42" s="108"/>
      <c r="C42" s="108"/>
      <c r="D42" s="108"/>
      <c r="E42" s="57" t="s">
        <v>344</v>
      </c>
    </row>
    <row r="43" spans="1:5" ht="39.75" customHeight="1" x14ac:dyDescent="0.35">
      <c r="A43" s="109" t="s">
        <v>345</v>
      </c>
      <c r="B43" s="109"/>
      <c r="C43" s="109"/>
      <c r="D43" s="109"/>
      <c r="E43" s="109"/>
    </row>
  </sheetData>
  <mergeCells count="32">
    <mergeCell ref="A42:D42"/>
    <mergeCell ref="A43:E43"/>
    <mergeCell ref="A36:E36"/>
    <mergeCell ref="C37:D37"/>
    <mergeCell ref="C38:D38"/>
    <mergeCell ref="A40:E40"/>
    <mergeCell ref="C41:D41"/>
    <mergeCell ref="A28:E28"/>
    <mergeCell ref="A30:E30"/>
    <mergeCell ref="C32:E32"/>
    <mergeCell ref="C33:E33"/>
    <mergeCell ref="C34:D34"/>
    <mergeCell ref="A17:E17"/>
    <mergeCell ref="C18:E18"/>
    <mergeCell ref="C19:E19"/>
    <mergeCell ref="A20:E20"/>
    <mergeCell ref="A27:E27"/>
    <mergeCell ref="C12:E12"/>
    <mergeCell ref="C13:E13"/>
    <mergeCell ref="C14:E14"/>
    <mergeCell ref="C15:E15"/>
    <mergeCell ref="C16:E16"/>
    <mergeCell ref="C7:E7"/>
    <mergeCell ref="A8:E8"/>
    <mergeCell ref="C9:E9"/>
    <mergeCell ref="C10:E10"/>
    <mergeCell ref="A11:E11"/>
    <mergeCell ref="A1:E1"/>
    <mergeCell ref="A2:E2"/>
    <mergeCell ref="A3:E3"/>
    <mergeCell ref="C5:E5"/>
    <mergeCell ref="C6:E6"/>
  </mergeCells>
  <conditionalFormatting sqref="E31 E34:E35 E37:E39">
    <cfRule type="expression" dxfId="9" priority="15">
      <formula>OR(NOT(ISERROR(SEARCH("ATTRACTIVE",E31))),NOT(ISERROR(SEARCH("COMPRA",E31))))</formula>
    </cfRule>
    <cfRule type="expression" dxfId="8" priority="16">
      <formula>OR(NOT(ISERROR(SEARCH("NORMAL",E31))),NOT(ISERROR(SEARCH("CASI",E31))),NOT(ISERROR(SEARCH("NEUTRAL",E31))))</formula>
    </cfRule>
    <cfRule type="expression" dxfId="7" priority="17">
      <formula>OR(NOT(ISERROR(SEARCH("EXPENSIVE",E31))),NOT(ISERROR(SEARCH("WAIT",E31))))</formula>
    </cfRule>
  </conditionalFormatting>
  <conditionalFormatting sqref="E34">
    <cfRule type="expression" dxfId="6" priority="18">
      <formula>NOT(ISERROR(SEARCH("ATTRACTIVE",E34)))</formula>
    </cfRule>
    <cfRule type="expression" dxfId="5" priority="19">
      <formula>NOT(ISERROR(SEARCH("NORMAL",E34)))</formula>
    </cfRule>
    <cfRule type="expression" dxfId="4" priority="20">
      <formula>NOT(ISERROR(SEARCH("EXPENSIVE",E34)))</formula>
    </cfRule>
  </conditionalFormatting>
  <conditionalFormatting sqref="E41">
    <cfRule type="expression" dxfId="3" priority="1">
      <formula>OR(NOT(ISERROR(SEARCH("ATTRACTIVE",E41))),NOT(ISERROR(SEARCH("BUY",E41))),NOT(ISERROR(SEARCH("FAIR",E41))),NOT(ISERROR(SEARCH("BEATS",E41))))</formula>
    </cfRule>
    <cfRule type="expression" dxfId="2" priority="2">
      <formula>OR(NOT(ISERROR(SEARCH("NORMAL",E41))),NOT(ISERROR(SEARCH("CLOSE",E41))),NOT(ISERROR(SEARCH("IN LINE",E41))))</formula>
    </cfRule>
    <cfRule type="expression" dxfId="1" priority="3">
      <formula>OR(NOT(ISERROR(SEARCH("EXPENSIVE",E41))),NOT(ISERROR(SEARCH("WAIT",E41))),NOT(ISERROR(SEARCH("LAGS",E41))))</formula>
    </cfRule>
    <cfRule type="expression" dxfId="0" priority="4">
      <formula>NOT(ISERROR(SEARCH("N/A",E41)))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9"/>
  <sheetViews>
    <sheetView zoomScaleNormal="100" workbookViewId="0">
      <selection activeCell="M7" sqref="M7:R7"/>
    </sheetView>
  </sheetViews>
  <sheetFormatPr defaultColWidth="8.6328125" defaultRowHeight="14.5" x14ac:dyDescent="0.35"/>
  <cols>
    <col min="1" max="18" width="10.54296875" customWidth="1"/>
  </cols>
  <sheetData>
    <row r="1" spans="1:18" ht="30" customHeight="1" x14ac:dyDescent="0.35">
      <c r="A1" s="114" t="s">
        <v>403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</row>
    <row r="2" spans="1:18" ht="15.75" customHeight="1" x14ac:dyDescent="0.35">
      <c r="A2" s="115" t="s">
        <v>404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</row>
    <row r="3" spans="1:18" ht="13.5" customHeight="1" x14ac:dyDescent="0.35">
      <c r="A3" s="116" t="s">
        <v>405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</row>
    <row r="4" spans="1:18" ht="21.75" customHeight="1" x14ac:dyDescent="0.35">
      <c r="G4" s="117" t="s">
        <v>256</v>
      </c>
      <c r="H4" s="117"/>
      <c r="I4" s="117"/>
      <c r="J4" s="117"/>
      <c r="K4" s="117"/>
      <c r="L4" s="117"/>
    </row>
    <row r="5" spans="1:18" ht="19.5" customHeight="1" x14ac:dyDescent="0.35">
      <c r="G5" s="118">
        <f>IFERROR(Input_Data!B21/Input_Data!B31,"N/A")</f>
        <v>8.0847764513875861E-2</v>
      </c>
      <c r="H5" s="118"/>
      <c r="I5" s="68">
        <f>IFERROR(Input_Data!C21/Input_Data!C31,"N/A")</f>
        <v>7.6690470042257222E-2</v>
      </c>
      <c r="J5" s="68">
        <f>IFERROR(Input_Data!D21/Input_Data!D31,"N/A")</f>
        <v>9.8389510713143585E-2</v>
      </c>
      <c r="K5" s="118">
        <f>IFERROR(Input_Data!E21/Input_Data!E31,"N/A")</f>
        <v>7.6422016327160155E-2</v>
      </c>
      <c r="L5" s="118"/>
    </row>
    <row r="6" spans="1:18" ht="7.5" customHeight="1" x14ac:dyDescent="0.35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</row>
    <row r="7" spans="1:18" ht="21.75" customHeight="1" x14ac:dyDescent="0.35">
      <c r="A7" s="120" t="s">
        <v>406</v>
      </c>
      <c r="B7" s="120"/>
      <c r="C7" s="120"/>
      <c r="D7" s="120"/>
      <c r="E7" s="120"/>
      <c r="F7" s="120"/>
      <c r="G7" s="120" t="s">
        <v>407</v>
      </c>
      <c r="H7" s="120"/>
      <c r="I7" s="120"/>
      <c r="J7" s="120"/>
      <c r="K7" s="120"/>
      <c r="L7" s="120"/>
      <c r="M7" s="120" t="s">
        <v>408</v>
      </c>
      <c r="N7" s="120"/>
      <c r="O7" s="120"/>
      <c r="P7" s="120"/>
      <c r="Q7" s="120"/>
      <c r="R7" s="120"/>
    </row>
    <row r="8" spans="1:18" ht="19.5" customHeight="1" x14ac:dyDescent="0.35">
      <c r="A8" s="121">
        <f>IFERROR(Input_Data!B21/Input_Data!B12,"N/A")</f>
        <v>0.39736909351494881</v>
      </c>
      <c r="B8" s="121"/>
      <c r="C8" s="69">
        <f>IFERROR(Input_Data!C21/Input_Data!C12,"N/A")</f>
        <v>0.38339405931037812</v>
      </c>
      <c r="D8" s="121">
        <f>IFERROR(Input_Data!D21/Input_Data!D12,"N/A")</f>
        <v>0.47319528010532402</v>
      </c>
      <c r="E8" s="121"/>
      <c r="F8" s="69">
        <f>IFERROR(Input_Data!E21/Input_Data!E12,"N/A")</f>
        <v>0.35722838051832684</v>
      </c>
      <c r="G8" s="122">
        <f>IFERROR(Input_Data!B12/Input_Data!B27,"N/A")</f>
        <v>0.11868387185248479</v>
      </c>
      <c r="H8" s="122"/>
      <c r="I8" s="77">
        <f>IFERROR(Input_Data!C12/Input_Data!C27,"N/A")</f>
        <v>0.11939305242658031</v>
      </c>
      <c r="J8" s="122">
        <f>IFERROR(Input_Data!D12/Input_Data!D27,"N/A")</f>
        <v>0.12215956062059034</v>
      </c>
      <c r="K8" s="122"/>
      <c r="L8" s="77">
        <f>IFERROR(Input_Data!E12/Input_Data!E27,"N/A")</f>
        <v>0.12205999519133308</v>
      </c>
      <c r="M8" s="123">
        <f>IFERROR(Input_Data!B27/Input_Data!B31,"N/A")</f>
        <v>1.7142818392041357</v>
      </c>
      <c r="N8" s="123"/>
      <c r="O8" s="70">
        <f>IFERROR(Input_Data!C27/Input_Data!C31,"N/A")</f>
        <v>1.6753940347566287</v>
      </c>
      <c r="P8" s="123">
        <f>IFERROR(Input_Data!D27/Input_Data!D31,"N/A")</f>
        <v>1.7020837863767189</v>
      </c>
      <c r="Q8" s="123"/>
      <c r="R8" s="70">
        <f>IFERROR(Input_Data!E27/Input_Data!E31,"N/A")</f>
        <v>1.7526661084731572</v>
      </c>
    </row>
    <row r="9" spans="1:18" ht="7.5" customHeight="1" x14ac:dyDescent="0.35">
      <c r="A9" s="124"/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</row>
    <row r="10" spans="1:18" ht="21.75" customHeight="1" x14ac:dyDescent="0.35">
      <c r="A10" s="125" t="s">
        <v>409</v>
      </c>
      <c r="B10" s="125"/>
      <c r="C10" s="125"/>
      <c r="D10" s="125" t="s">
        <v>410</v>
      </c>
      <c r="E10" s="125"/>
      <c r="F10" s="125"/>
      <c r="G10" s="125" t="s">
        <v>411</v>
      </c>
      <c r="H10" s="125"/>
      <c r="I10" s="125"/>
      <c r="J10" s="125" t="s">
        <v>412</v>
      </c>
      <c r="K10" s="125"/>
      <c r="L10" s="125"/>
      <c r="M10" s="125" t="s">
        <v>413</v>
      </c>
      <c r="N10" s="125"/>
      <c r="O10" s="125"/>
      <c r="P10" s="125" t="s">
        <v>414</v>
      </c>
      <c r="Q10" s="125"/>
      <c r="R10" s="125"/>
    </row>
    <row r="11" spans="1:18" ht="19.5" customHeight="1" x14ac:dyDescent="0.35">
      <c r="A11" s="71">
        <f>IFERROR(Input_Data!B14/Input_Data!B12,"N/A")</f>
        <v>0.67196995789216396</v>
      </c>
      <c r="B11" s="71">
        <f>IFERROR(Input_Data!C14/Input_Data!C12,"N/A")</f>
        <v>0.67632652076345823</v>
      </c>
      <c r="C11" s="71">
        <f>IFERROR(Input_Data!D14/Input_Data!D12,"N/A")</f>
        <v>0.68036125158416694</v>
      </c>
      <c r="D11" s="71">
        <f>IFERROR(Input_Data!B17/Input_Data!B12,"N/A")</f>
        <v>0.49869454597975715</v>
      </c>
      <c r="E11" s="71">
        <f>IFERROR(Input_Data!C17/Input_Data!C12,"N/A")</f>
        <v>0.48401418816205388</v>
      </c>
      <c r="F11" s="71">
        <f>IFERROR(Input_Data!D17/Input_Data!D12,"N/A")</f>
        <v>0.60268477846271207</v>
      </c>
      <c r="G11" s="72">
        <f>IFERROR(Input_Data!B26/Input_Data!B12,"N/A")</f>
        <v>2.3077094003799705</v>
      </c>
      <c r="H11" s="72">
        <f>IFERROR(Input_Data!C26/Input_Data!C12,"N/A")</f>
        <v>2.1153029462152837</v>
      </c>
      <c r="I11" s="72">
        <f>IFERROR(Input_Data!D26/Input_Data!D12,"N/A")</f>
        <v>2.2170954683597257</v>
      </c>
      <c r="J11" s="72">
        <f>IFERROR(Input_Data!B12/Input_Data!B27,"N/A")</f>
        <v>0.11868387185248479</v>
      </c>
      <c r="K11" s="72">
        <f>IFERROR(Input_Data!C12/Input_Data!C27,"N/A")</f>
        <v>0.11939305242658031</v>
      </c>
      <c r="L11" s="72">
        <f>IFERROR(Input_Data!D12/Input_Data!D27,"N/A")</f>
        <v>0.12215956062059034</v>
      </c>
      <c r="M11" s="72">
        <f>IFERROR(Input_Data!B29/Input_Data!B31,"N/A")</f>
        <v>0.29116655778763845</v>
      </c>
      <c r="N11" s="72">
        <f>IFERROR(Input_Data!C29/Input_Data!C31,"N/A")</f>
        <v>0.30270750325194817</v>
      </c>
      <c r="O11" s="72">
        <f>IFERROR(Input_Data!D29/Input_Data!D31,"N/A")</f>
        <v>0.31538983050847458</v>
      </c>
      <c r="P11" s="72">
        <f>IFERROR(Input_Data!B26/Input_Data!B28,"N/A")</f>
        <v>1.2303272619576484</v>
      </c>
      <c r="Q11" s="72">
        <f>IFERROR(Input_Data!C26/Input_Data!C28,"N/A")</f>
        <v>1.2829483173692569</v>
      </c>
      <c r="R11" s="72">
        <f>IFERROR(Input_Data!D26/Input_Data!D28,"N/A")</f>
        <v>1.3860236144763662</v>
      </c>
    </row>
    <row r="12" spans="1:18" ht="7.5" customHeight="1" x14ac:dyDescent="0.35">
      <c r="A12" s="124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</row>
    <row r="13" spans="1:18" ht="21.75" customHeight="1" x14ac:dyDescent="0.35">
      <c r="A13" s="126" t="s">
        <v>415</v>
      </c>
      <c r="B13" s="126"/>
      <c r="C13" s="73" t="s">
        <v>416</v>
      </c>
      <c r="D13" s="126" t="s">
        <v>417</v>
      </c>
      <c r="E13" s="126"/>
      <c r="F13" s="73" t="s">
        <v>418</v>
      </c>
      <c r="G13" s="126" t="s">
        <v>419</v>
      </c>
      <c r="H13" s="126"/>
      <c r="I13" s="126"/>
      <c r="J13" s="126" t="s">
        <v>420</v>
      </c>
      <c r="K13" s="126"/>
      <c r="L13" s="126"/>
      <c r="M13" s="126" t="s">
        <v>421</v>
      </c>
      <c r="N13" s="126"/>
      <c r="O13" s="126"/>
      <c r="P13" s="126" t="s">
        <v>422</v>
      </c>
      <c r="Q13" s="126"/>
      <c r="R13" s="126"/>
    </row>
    <row r="14" spans="1:18" ht="19.5" customHeight="1" x14ac:dyDescent="0.35">
      <c r="A14" s="74">
        <f>IFERROR(Input_Data!B12/1000000000,"N/A")</f>
        <v>90.007000000000005</v>
      </c>
      <c r="B14" s="74">
        <f>IFERROR(Input_Data!C12/1000000000,"N/A")</f>
        <v>82.885999999999996</v>
      </c>
      <c r="C14" s="74">
        <f>IFERROR(Input_Data!B13/1000000000,"N/A")</f>
        <v>29.524999999999999</v>
      </c>
      <c r="D14" s="74">
        <f>IFERROR(Input_Data!B17/1000000000,"N/A")</f>
        <v>44.886000000000003</v>
      </c>
      <c r="E14" s="74">
        <f>IFERROR(Input_Data!C17/1000000000,"N/A")</f>
        <v>40.118000000000002</v>
      </c>
      <c r="F14" s="74">
        <f>IFERROR(Input_Data!B18/1000000000,"N/A")</f>
        <v>0.83899999999999997</v>
      </c>
      <c r="G14" s="74">
        <f>IFERROR(Input_Data!B27/1000000000,"N/A")</f>
        <v>758.37599999999998</v>
      </c>
      <c r="H14" s="74">
        <f>IFERROR(Input_Data!C27/1000000000,"N/A")</f>
        <v>694.22799999999995</v>
      </c>
      <c r="I14" s="74">
        <f>IFERROR(Input_Data!D27/1000000000,"N/A")</f>
        <v>665.30200000000002</v>
      </c>
      <c r="J14" s="74">
        <f>IFERROR(Input_Data!B21/1000000000,"N/A")</f>
        <v>35.765999999999998</v>
      </c>
      <c r="K14" s="74">
        <f>IFERROR(Input_Data!C21/1000000000,"N/A")</f>
        <v>31.777999999999999</v>
      </c>
      <c r="L14" s="74">
        <f>IFERROR(Input_Data!D21/1000000000,"N/A")</f>
        <v>38.457999999999998</v>
      </c>
      <c r="M14" s="74">
        <f>IFERROR(Input_Data!B30/1000000000,"N/A")</f>
        <v>315.98899999999998</v>
      </c>
      <c r="N14" s="74">
        <f>IFERROR(Input_Data!C30/1000000000,"N/A")</f>
        <v>279.86099999999999</v>
      </c>
      <c r="O14" s="74">
        <f>IFERROR(Input_Data!D30/1000000000,"N/A")</f>
        <v>274.42700000000002</v>
      </c>
      <c r="P14" s="74">
        <f>IFERROR(Input_Data!B31/1000000000,"N/A")</f>
        <v>442.387</v>
      </c>
      <c r="Q14" s="74">
        <f>IFERROR(Input_Data!C31/1000000000,"N/A")</f>
        <v>414.36700000000002</v>
      </c>
      <c r="R14" s="74">
        <f>IFERROR(Input_Data!D31/1000000000,"N/A")</f>
        <v>390.875</v>
      </c>
    </row>
    <row r="15" spans="1:18" ht="13.5" customHeight="1" x14ac:dyDescent="0.35">
      <c r="A15" s="116" t="s">
        <v>423</v>
      </c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</row>
    <row r="16" spans="1:18" ht="21.75" customHeight="1" x14ac:dyDescent="0.35">
      <c r="A16" s="129" t="s">
        <v>424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</row>
    <row r="17" spans="1:18" ht="30" customHeight="1" x14ac:dyDescent="0.35">
      <c r="A17" s="127" t="s">
        <v>425</v>
      </c>
      <c r="B17" s="127"/>
      <c r="C17" s="127"/>
      <c r="D17" s="127"/>
      <c r="E17" s="128" t="s">
        <v>426</v>
      </c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</row>
    <row r="18" spans="1:18" ht="30" customHeight="1" x14ac:dyDescent="0.35">
      <c r="A18" s="127" t="s">
        <v>427</v>
      </c>
      <c r="B18" s="127"/>
      <c r="C18" s="127"/>
      <c r="D18" s="127"/>
      <c r="E18" s="128" t="s">
        <v>428</v>
      </c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</row>
    <row r="19" spans="1:18" ht="30" customHeight="1" x14ac:dyDescent="0.35">
      <c r="A19" s="127" t="s">
        <v>429</v>
      </c>
      <c r="B19" s="127"/>
      <c r="C19" s="127"/>
      <c r="D19" s="127"/>
      <c r="E19" s="128" t="s">
        <v>430</v>
      </c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</row>
  </sheetData>
  <mergeCells count="38">
    <mergeCell ref="A19:D19"/>
    <mergeCell ref="E19:R19"/>
    <mergeCell ref="A15:R15"/>
    <mergeCell ref="A16:R16"/>
    <mergeCell ref="A17:D17"/>
    <mergeCell ref="E17:R17"/>
    <mergeCell ref="A18:D18"/>
    <mergeCell ref="E18:R18"/>
    <mergeCell ref="A12:R12"/>
    <mergeCell ref="A13:B13"/>
    <mergeCell ref="D13:E13"/>
    <mergeCell ref="G13:I13"/>
    <mergeCell ref="J13:L13"/>
    <mergeCell ref="M13:O13"/>
    <mergeCell ref="P13:R13"/>
    <mergeCell ref="A9:R9"/>
    <mergeCell ref="A10:C10"/>
    <mergeCell ref="D10:F10"/>
    <mergeCell ref="G10:I10"/>
    <mergeCell ref="J10:L10"/>
    <mergeCell ref="M10:O10"/>
    <mergeCell ref="P10:R10"/>
    <mergeCell ref="A6:R6"/>
    <mergeCell ref="A7:F7"/>
    <mergeCell ref="G7:L7"/>
    <mergeCell ref="M7:R7"/>
    <mergeCell ref="A8:B8"/>
    <mergeCell ref="D8:E8"/>
    <mergeCell ref="G8:H8"/>
    <mergeCell ref="J8:K8"/>
    <mergeCell ref="M8:N8"/>
    <mergeCell ref="P8:Q8"/>
    <mergeCell ref="A1:R1"/>
    <mergeCell ref="A2:R2"/>
    <mergeCell ref="A3:R3"/>
    <mergeCell ref="G4:L4"/>
    <mergeCell ref="G5:H5"/>
    <mergeCell ref="K5:L5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4"/>
  <sheetViews>
    <sheetView zoomScaleNormal="100" workbookViewId="0">
      <selection activeCell="E4" sqref="E4"/>
    </sheetView>
  </sheetViews>
  <sheetFormatPr defaultColWidth="8.6328125" defaultRowHeight="14.5" x14ac:dyDescent="0.35"/>
  <cols>
    <col min="1" max="1" width="32" customWidth="1"/>
    <col min="2" max="5" width="20" customWidth="1"/>
    <col min="6" max="6" width="22" customWidth="1"/>
  </cols>
  <sheetData>
    <row r="1" spans="1:6" ht="36" customHeight="1" x14ac:dyDescent="0.35">
      <c r="A1" s="82" t="s">
        <v>346</v>
      </c>
      <c r="B1" s="82"/>
      <c r="C1" s="82"/>
      <c r="D1" s="82"/>
      <c r="E1" s="82"/>
      <c r="F1" s="82"/>
    </row>
    <row r="2" spans="1:6" ht="18" customHeight="1" x14ac:dyDescent="0.35">
      <c r="A2" s="83" t="s">
        <v>347</v>
      </c>
      <c r="B2" s="83"/>
      <c r="C2" s="83"/>
      <c r="D2" s="83"/>
      <c r="E2" s="83"/>
      <c r="F2" s="83"/>
    </row>
    <row r="3" spans="1:6" ht="27.75" customHeight="1" x14ac:dyDescent="0.35">
      <c r="A3" s="4" t="s">
        <v>348</v>
      </c>
      <c r="B3" s="4" t="s">
        <v>349</v>
      </c>
      <c r="C3" s="4" t="s">
        <v>447</v>
      </c>
      <c r="D3" s="4" t="s">
        <v>448</v>
      </c>
      <c r="E3" s="4" t="s">
        <v>449</v>
      </c>
      <c r="F3" s="4" t="s">
        <v>350</v>
      </c>
    </row>
    <row r="4" spans="1:6" ht="21.75" customHeight="1" x14ac:dyDescent="0.35">
      <c r="A4" s="58" t="s">
        <v>351</v>
      </c>
      <c r="B4" s="59"/>
      <c r="C4" s="59"/>
      <c r="D4" s="59"/>
      <c r="E4" s="60"/>
      <c r="F4" s="60" t="s">
        <v>352</v>
      </c>
    </row>
    <row r="5" spans="1:6" ht="31.5" customHeight="1" x14ac:dyDescent="0.35">
      <c r="A5" s="86" t="s">
        <v>353</v>
      </c>
      <c r="B5" s="86"/>
      <c r="C5" s="86"/>
      <c r="D5" s="86"/>
      <c r="E5" s="86"/>
      <c r="F5" s="86"/>
    </row>
    <row r="6" spans="1:6" ht="21.75" customHeight="1" x14ac:dyDescent="0.35">
      <c r="A6" s="14" t="s">
        <v>354</v>
      </c>
      <c r="B6" s="19"/>
      <c r="C6" s="19"/>
      <c r="D6" s="19"/>
      <c r="E6" s="19"/>
      <c r="F6" s="61" t="str">
        <f>IFERROR(_xlfn.IFS(B6=MIN(B6:D6),"🏆 Company 1",C6=MIN(B6:D6),"🏆 Company 2",D6=MIN(B6:D6),"🏆 Company 3"),"—")</f>
        <v>🏆 Company 1</v>
      </c>
    </row>
    <row r="7" spans="1:6" ht="21.75" customHeight="1" x14ac:dyDescent="0.35">
      <c r="A7" s="11" t="s">
        <v>355</v>
      </c>
      <c r="B7" s="19"/>
      <c r="C7" s="19"/>
      <c r="D7" s="19"/>
      <c r="E7" s="19"/>
      <c r="F7" s="62" t="str">
        <f>IFERROR(_xlfn.IFS(B7=MIN(B7:D7),"🏆 Company 1",C7=MIN(B7:D7),"🏆 Company 2",D7=MIN(B7:D7),"🏆 Company 3"),"—")</f>
        <v>🏆 Company 1</v>
      </c>
    </row>
    <row r="8" spans="1:6" ht="31.5" customHeight="1" x14ac:dyDescent="0.35">
      <c r="A8" s="86" t="s">
        <v>356</v>
      </c>
      <c r="B8" s="86"/>
      <c r="C8" s="86"/>
      <c r="D8" s="86"/>
      <c r="E8" s="86"/>
      <c r="F8" s="86"/>
    </row>
    <row r="9" spans="1:6" ht="21.75" customHeight="1" x14ac:dyDescent="0.35">
      <c r="A9" s="11" t="s">
        <v>357</v>
      </c>
      <c r="B9" s="19"/>
      <c r="C9" s="19"/>
      <c r="D9" s="19"/>
      <c r="E9" s="19"/>
      <c r="F9" s="62" t="str">
        <f>IFERROR(_xlfn.IFS(B9=MAX(B9:D9),"🏆 Company 1",C9=MAX(B9:D9),"🏆 Company 2",D9=MAX(B9:D9),"🏆 Company 3"),"—")</f>
        <v>🏆 Company 1</v>
      </c>
    </row>
    <row r="10" spans="1:6" ht="21.75" customHeight="1" x14ac:dyDescent="0.35">
      <c r="A10" s="14" t="s">
        <v>358</v>
      </c>
      <c r="B10" s="19"/>
      <c r="C10" s="19"/>
      <c r="D10" s="19"/>
      <c r="E10" s="19"/>
      <c r="F10" s="61" t="str">
        <f>IFERROR(_xlfn.IFS(B10=MAX(B10:D10),"🏆 Company 1",C10=MAX(B10:D10),"🏆 Company 2",D10=MAX(B10:D10),"🏆 Company 3"),"—")</f>
        <v>🏆 Company 1</v>
      </c>
    </row>
    <row r="11" spans="1:6" ht="21.75" customHeight="1" x14ac:dyDescent="0.35">
      <c r="A11" s="11" t="s">
        <v>359</v>
      </c>
      <c r="B11" s="19"/>
      <c r="C11" s="19"/>
      <c r="D11" s="19"/>
      <c r="E11" s="19"/>
      <c r="F11" s="62" t="str">
        <f>IFERROR(_xlfn.IFS(B11=MAX(B11:D11),"🏆 Company 1",C11=MAX(B11:D11),"🏆 Company 2",D11=MAX(B11:D11),"🏆 Company 3"),"—")</f>
        <v>🏆 Company 1</v>
      </c>
    </row>
    <row r="12" spans="1:6" ht="21.75" customHeight="1" x14ac:dyDescent="0.35">
      <c r="A12" s="14" t="s">
        <v>360</v>
      </c>
      <c r="B12" s="19"/>
      <c r="C12" s="19"/>
      <c r="D12" s="19"/>
      <c r="E12" s="19"/>
      <c r="F12" s="61" t="str">
        <f>IFERROR(_xlfn.IFS(B12=MAX(B12:D12),"🏆 Company 1",C12=MAX(B12:D12),"🏆 Company 2",D12=MAX(B12:D12),"🏆 Company 3"),"—")</f>
        <v>🏆 Company 1</v>
      </c>
    </row>
    <row r="13" spans="1:6" ht="31.5" customHeight="1" x14ac:dyDescent="0.35">
      <c r="A13" s="86" t="s">
        <v>361</v>
      </c>
      <c r="B13" s="86"/>
      <c r="C13" s="86"/>
      <c r="D13" s="86"/>
      <c r="E13" s="86"/>
      <c r="F13" s="86"/>
    </row>
    <row r="14" spans="1:6" ht="21.75" customHeight="1" x14ac:dyDescent="0.35">
      <c r="A14" s="14" t="s">
        <v>362</v>
      </c>
      <c r="B14" s="19"/>
      <c r="C14" s="19"/>
      <c r="D14" s="19"/>
      <c r="E14" s="19"/>
      <c r="F14" s="61" t="str">
        <f>IFERROR(_xlfn.IFS(B14=MAX(B14:D14),"🏆 Company 1",C14=MAX(B14:D14),"🏆 Company 2",D14=MAX(B14:D14),"🏆 Company 3"),"—")</f>
        <v>🏆 Company 1</v>
      </c>
    </row>
    <row r="15" spans="1:6" ht="21.75" customHeight="1" x14ac:dyDescent="0.35">
      <c r="A15" s="11" t="s">
        <v>363</v>
      </c>
      <c r="B15" s="19"/>
      <c r="C15" s="19"/>
      <c r="D15" s="19"/>
      <c r="E15" s="19"/>
      <c r="F15" s="62" t="str">
        <f>IFERROR(_xlfn.IFS(B15=MIN(B15:D15),"🏆 Company 1",C15=MIN(B15:D15),"🏆 Company 2",D15=MIN(B15:D15),"🏆 Company 3"),"—")</f>
        <v>🏆 Company 1</v>
      </c>
    </row>
    <row r="16" spans="1:6" ht="21.75" customHeight="1" x14ac:dyDescent="0.35">
      <c r="A16" s="14" t="s">
        <v>364</v>
      </c>
      <c r="B16" s="19"/>
      <c r="C16" s="19"/>
      <c r="D16" s="19"/>
      <c r="E16" s="19"/>
      <c r="F16" s="61" t="str">
        <f>IFERROR(_xlfn.IFS(B16=MIN(B16:D16),"🏆 Company 1",C16=MIN(B16:D16),"🏆 Company 2",D16=MIN(B16:D16),"🏆 Company 3"),"—")</f>
        <v>🏆 Company 1</v>
      </c>
    </row>
    <row r="17" spans="1:6" ht="31.5" customHeight="1" x14ac:dyDescent="0.35">
      <c r="A17" s="86" t="s">
        <v>365</v>
      </c>
      <c r="B17" s="86"/>
      <c r="C17" s="86"/>
      <c r="D17" s="86"/>
      <c r="E17" s="86"/>
      <c r="F17" s="86"/>
    </row>
    <row r="18" spans="1:6" ht="21.75" customHeight="1" x14ac:dyDescent="0.35">
      <c r="A18" s="14" t="s">
        <v>366</v>
      </c>
      <c r="B18" s="19"/>
      <c r="C18" s="19"/>
      <c r="D18" s="19"/>
      <c r="E18" s="19"/>
      <c r="F18" s="61" t="str">
        <f>IFERROR(_xlfn.IFS(B18=MAX(B18:D18),"🏆 Company 1",C18=MAX(B18:D18),"🏆 Company 2",D18=MAX(B18:D18),"🏆 Company 3"),"—")</f>
        <v>🏆 Company 1</v>
      </c>
    </row>
    <row r="19" spans="1:6" ht="21.75" customHeight="1" x14ac:dyDescent="0.35">
      <c r="A19" s="11" t="s">
        <v>367</v>
      </c>
      <c r="B19" s="19"/>
      <c r="C19" s="19"/>
      <c r="D19" s="19"/>
      <c r="E19" s="19"/>
      <c r="F19" s="62" t="str">
        <f>IFERROR(_xlfn.IFS(B19=MAX(B19:D19),"🏆 Company 1",C19=MAX(B19:D19),"🏆 Company 2",D19=MAX(B19:D19),"🏆 Company 3"),"—")</f>
        <v>🏆 Company 1</v>
      </c>
    </row>
    <row r="20" spans="1:6" ht="31.5" customHeight="1" x14ac:dyDescent="0.35">
      <c r="A20" s="86" t="s">
        <v>368</v>
      </c>
      <c r="B20" s="86"/>
      <c r="C20" s="86"/>
      <c r="D20" s="86"/>
      <c r="E20" s="86"/>
      <c r="F20" s="86"/>
    </row>
    <row r="21" spans="1:6" ht="21.75" customHeight="1" x14ac:dyDescent="0.35">
      <c r="A21" s="11" t="s">
        <v>369</v>
      </c>
      <c r="B21" s="19"/>
      <c r="C21" s="19"/>
      <c r="D21" s="19"/>
      <c r="E21" s="19"/>
      <c r="F21" s="62" t="str">
        <f>IFERROR(_xlfn.IFS(B21=MAX(B21:D21),"🏆 Company 1",C21=MAX(B21:D21),"🏆 Company 2",D21=MAX(B21:D21),"🏆 Company 3"),"—")</f>
        <v>🏆 Company 1</v>
      </c>
    </row>
    <row r="22" spans="1:6" ht="21.75" customHeight="1" x14ac:dyDescent="0.35">
      <c r="A22" s="14" t="s">
        <v>370</v>
      </c>
      <c r="B22" s="19"/>
      <c r="C22" s="19"/>
      <c r="D22" s="19"/>
      <c r="E22" s="19"/>
      <c r="F22" s="61" t="str">
        <f>IFERROR(_xlfn.IFS(B22=MAX(B22:D22),"🏆 Company 1",C22=MAX(B22:D22),"🏆 Company 2",D22=MAX(B22:D22),"🏆 Company 3"),"—")</f>
        <v>🏆 Company 1</v>
      </c>
    </row>
    <row r="24" spans="1:6" ht="18" customHeight="1" x14ac:dyDescent="0.35">
      <c r="A24" s="130" t="s">
        <v>371</v>
      </c>
      <c r="B24" s="130"/>
      <c r="C24" s="130"/>
      <c r="D24" s="130"/>
      <c r="E24" s="130"/>
      <c r="F24" s="130"/>
    </row>
  </sheetData>
  <mergeCells count="8">
    <mergeCell ref="A17:F17"/>
    <mergeCell ref="A20:F20"/>
    <mergeCell ref="A24:F24"/>
    <mergeCell ref="A1:F1"/>
    <mergeCell ref="A2:F2"/>
    <mergeCell ref="A5:F5"/>
    <mergeCell ref="A8:F8"/>
    <mergeCell ref="A13:F13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9"/>
  <sheetViews>
    <sheetView zoomScaleNormal="100" workbookViewId="0">
      <selection activeCell="A12" sqref="A12:B12"/>
    </sheetView>
  </sheetViews>
  <sheetFormatPr defaultColWidth="8.6328125" defaultRowHeight="14.5" x14ac:dyDescent="0.35"/>
  <cols>
    <col min="1" max="1" width="22" customWidth="1"/>
    <col min="2" max="2" width="92.54296875" customWidth="1"/>
  </cols>
  <sheetData>
    <row r="1" spans="1:2" ht="36" customHeight="1" x14ac:dyDescent="0.35">
      <c r="A1" s="82" t="s">
        <v>372</v>
      </c>
      <c r="B1" s="82"/>
    </row>
    <row r="2" spans="1:2" ht="19.5" customHeight="1" x14ac:dyDescent="0.35">
      <c r="A2" s="63" t="s">
        <v>373</v>
      </c>
      <c r="B2" s="63" t="s">
        <v>374</v>
      </c>
    </row>
    <row r="3" spans="1:2" ht="19.5" customHeight="1" x14ac:dyDescent="0.35">
      <c r="A3" s="64" t="s">
        <v>375</v>
      </c>
      <c r="B3" s="65" t="s">
        <v>376</v>
      </c>
    </row>
    <row r="4" spans="1:2" ht="19.5" customHeight="1" x14ac:dyDescent="0.35">
      <c r="A4" s="1" t="s">
        <v>377</v>
      </c>
      <c r="B4" s="66" t="s">
        <v>378</v>
      </c>
    </row>
    <row r="5" spans="1:2" ht="19.5" customHeight="1" x14ac:dyDescent="0.35">
      <c r="A5" s="64" t="s">
        <v>379</v>
      </c>
      <c r="B5" s="65" t="s">
        <v>380</v>
      </c>
    </row>
    <row r="6" spans="1:2" ht="19.5" customHeight="1" x14ac:dyDescent="0.35">
      <c r="A6" s="1" t="s">
        <v>381</v>
      </c>
      <c r="B6" s="66" t="s">
        <v>382</v>
      </c>
    </row>
    <row r="7" spans="1:2" ht="19.5" customHeight="1" x14ac:dyDescent="0.35">
      <c r="A7" s="64" t="s">
        <v>383</v>
      </c>
      <c r="B7" s="65" t="s">
        <v>384</v>
      </c>
    </row>
    <row r="8" spans="1:2" ht="19.5" customHeight="1" x14ac:dyDescent="0.35">
      <c r="A8" s="1" t="s">
        <v>385</v>
      </c>
      <c r="B8" s="66" t="s">
        <v>450</v>
      </c>
    </row>
    <row r="9" spans="1:2" ht="19.5" customHeight="1" x14ac:dyDescent="0.35">
      <c r="B9" s="67"/>
    </row>
    <row r="10" spans="1:2" ht="19.5" customHeight="1" x14ac:dyDescent="0.35">
      <c r="A10" s="1" t="s">
        <v>386</v>
      </c>
      <c r="B10" s="66" t="s">
        <v>387</v>
      </c>
    </row>
    <row r="11" spans="1:2" ht="19.5" customHeight="1" x14ac:dyDescent="0.35">
      <c r="A11" s="64" t="s">
        <v>388</v>
      </c>
      <c r="B11" s="65" t="s">
        <v>451</v>
      </c>
    </row>
    <row r="12" spans="1:2" ht="19.5" customHeight="1" x14ac:dyDescent="0.35">
      <c r="A12" s="131" t="s">
        <v>389</v>
      </c>
      <c r="B12" s="131"/>
    </row>
    <row r="13" spans="1:2" ht="19.5" customHeight="1" x14ac:dyDescent="0.35">
      <c r="A13" s="64" t="s">
        <v>390</v>
      </c>
      <c r="B13" s="65" t="s">
        <v>391</v>
      </c>
    </row>
    <row r="14" spans="1:2" ht="19.5" customHeight="1" x14ac:dyDescent="0.35">
      <c r="A14" s="1" t="s">
        <v>392</v>
      </c>
      <c r="B14" s="66" t="s">
        <v>393</v>
      </c>
    </row>
    <row r="15" spans="1:2" ht="19.5" customHeight="1" x14ac:dyDescent="0.35">
      <c r="A15" s="64" t="s">
        <v>394</v>
      </c>
      <c r="B15" s="65" t="s">
        <v>395</v>
      </c>
    </row>
    <row r="16" spans="1:2" ht="19.5" customHeight="1" x14ac:dyDescent="0.35">
      <c r="A16" s="1" t="s">
        <v>396</v>
      </c>
      <c r="B16" s="66" t="s">
        <v>397</v>
      </c>
    </row>
    <row r="17" spans="1:2" ht="19.5" customHeight="1" x14ac:dyDescent="0.35">
      <c r="A17" s="64" t="s">
        <v>398</v>
      </c>
      <c r="B17" s="65" t="s">
        <v>399</v>
      </c>
    </row>
    <row r="18" spans="1:2" ht="19.5" customHeight="1" x14ac:dyDescent="0.35">
      <c r="A18" s="1" t="s">
        <v>400</v>
      </c>
      <c r="B18" s="66" t="s">
        <v>401</v>
      </c>
    </row>
    <row r="19" spans="1:2" ht="19.5" customHeight="1" x14ac:dyDescent="0.35">
      <c r="A19" s="64" t="s">
        <v>268</v>
      </c>
      <c r="B19" s="65" t="s">
        <v>402</v>
      </c>
    </row>
  </sheetData>
  <mergeCells count="2">
    <mergeCell ref="A1:B1"/>
    <mergeCell ref="A12:B12"/>
  </mergeCells>
  <pageMargins left="0.75" right="0.75" top="1" bottom="1" header="0.511811023622047" footer="0.511811023622047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BE914E-EE58-40DC-9FAD-B915CA8242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income-statement_symbol=MSFT&amp;pe</vt:lpstr>
      <vt:lpstr>balance-sheet-statement_symbol=</vt:lpstr>
      <vt:lpstr>cash-flow-statement_symbol=MSFT</vt:lpstr>
      <vt:lpstr>Setup</vt:lpstr>
      <vt:lpstr>FMP_Data</vt:lpstr>
      <vt:lpstr>Input_Data</vt:lpstr>
      <vt:lpstr>Analysis</vt:lpstr>
      <vt:lpstr>My_Position</vt:lpstr>
      <vt:lpstr>DuPont_Pyramid</vt:lpstr>
      <vt:lpstr>Sector_Benchmark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salvadorj97@outlook.com</dc:creator>
  <dc:description/>
  <cp:lastModifiedBy>JIMENEZ JUAREZ Salvador</cp:lastModifiedBy>
  <cp:revision>0</cp:revision>
  <dcterms:created xsi:type="dcterms:W3CDTF">2026-08-14T01:19:16Z</dcterms:created>
  <dcterms:modified xsi:type="dcterms:W3CDTF">2026-08-24T17:21:28Z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2c0ccb59-36d2-4204-ab98-d93d80ecfdf1</vt:lpwstr>
  </property>
</Properties>
</file>