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Salvador\Desktop\"/>
    </mc:Choice>
  </mc:AlternateContent>
  <xr:revisionPtr revIDLastSave="0" documentId="13_ncr:1_{AE9C6936-BA58-4C09-8D47-B6B033E56FA4}" xr6:coauthVersionLast="47" xr6:coauthVersionMax="47" xr10:uidLastSave="{00000000-0000-0000-0000-000000000000}"/>
  <bookViews>
    <workbookView xWindow="-110" yWindow="-110" windowWidth="21820" windowHeight="13900" tabRatio="500" activeTab="1" xr2:uid="{00000000-000D-0000-FFFF-FFFF00000000}"/>
  </bookViews>
  <sheets>
    <sheet name="Setup" sheetId="1" r:id="rId1"/>
    <sheet name="FMP_Data" sheetId="2" r:id="rId2"/>
    <sheet name="Input_Data" sheetId="3" r:id="rId3"/>
    <sheet name="Analysis" sheetId="4" r:id="rId4"/>
    <sheet name="My_Position" sheetId="5" r:id="rId5"/>
    <sheet name="DuPont_Pyramid" sheetId="6" r:id="rId6"/>
    <sheet name="Sector_Benchmark" sheetId="7" r:id="rId7"/>
    <sheet name="Guide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4" i="6" l="1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R8" i="6"/>
  <c r="P8" i="6"/>
  <c r="O8" i="6"/>
  <c r="M8" i="6"/>
  <c r="L8" i="6"/>
  <c r="J8" i="6"/>
  <c r="I8" i="6"/>
  <c r="G8" i="6"/>
  <c r="F8" i="6"/>
  <c r="D8" i="6"/>
  <c r="C8" i="6"/>
  <c r="A8" i="6"/>
  <c r="K5" i="6"/>
  <c r="J5" i="6"/>
  <c r="I5" i="6"/>
  <c r="G5" i="6"/>
  <c r="B41" i="5"/>
  <c r="E41" i="5" s="1"/>
  <c r="B39" i="5"/>
  <c r="E39" i="5" s="1"/>
  <c r="E35" i="5"/>
  <c r="E34" i="5"/>
  <c r="C34" i="5"/>
  <c r="B34" i="5"/>
  <c r="E31" i="5"/>
  <c r="A42" i="5" s="1"/>
  <c r="E25" i="5"/>
  <c r="D25" i="5"/>
  <c r="C25" i="5"/>
  <c r="E24" i="5"/>
  <c r="D24" i="5"/>
  <c r="C24" i="5"/>
  <c r="E23" i="5"/>
  <c r="C23" i="5"/>
  <c r="B22" i="5"/>
  <c r="B16" i="5"/>
  <c r="B15" i="5"/>
  <c r="B14" i="5"/>
  <c r="B13" i="5"/>
  <c r="B10" i="5"/>
  <c r="B7" i="5"/>
  <c r="G21" i="4"/>
  <c r="E21" i="4"/>
  <c r="D21" i="4"/>
  <c r="C21" i="4"/>
  <c r="B21" i="4"/>
  <c r="G20" i="4"/>
  <c r="E20" i="4"/>
  <c r="D20" i="4"/>
  <c r="C20" i="4"/>
  <c r="B20" i="4"/>
  <c r="G18" i="4"/>
  <c r="E18" i="4"/>
  <c r="D18" i="4"/>
  <c r="C18" i="4"/>
  <c r="B18" i="4"/>
  <c r="G17" i="4"/>
  <c r="E17" i="4"/>
  <c r="D17" i="4"/>
  <c r="C17" i="4"/>
  <c r="B17" i="4"/>
  <c r="G16" i="4"/>
  <c r="E16" i="4"/>
  <c r="D16" i="4"/>
  <c r="C16" i="4"/>
  <c r="B16" i="4"/>
  <c r="G15" i="4"/>
  <c r="E15" i="4"/>
  <c r="D15" i="4"/>
  <c r="C15" i="4"/>
  <c r="B15" i="4"/>
  <c r="G13" i="4"/>
  <c r="E13" i="4"/>
  <c r="D13" i="4"/>
  <c r="C13" i="4"/>
  <c r="B13" i="4"/>
  <c r="G12" i="4"/>
  <c r="E12" i="4"/>
  <c r="D12" i="4"/>
  <c r="C12" i="4"/>
  <c r="B12" i="4"/>
  <c r="G11" i="4"/>
  <c r="E11" i="4"/>
  <c r="D11" i="4"/>
  <c r="C11" i="4"/>
  <c r="B11" i="4"/>
  <c r="G10" i="4"/>
  <c r="E10" i="4"/>
  <c r="D10" i="4"/>
  <c r="C10" i="4"/>
  <c r="B10" i="4"/>
  <c r="G8" i="4"/>
  <c r="E8" i="4"/>
  <c r="D8" i="4"/>
  <c r="C8" i="4"/>
  <c r="B8" i="4"/>
  <c r="G7" i="4"/>
  <c r="E7" i="4"/>
  <c r="D7" i="4"/>
  <c r="C7" i="4"/>
  <c r="B7" i="4"/>
  <c r="E32" i="3"/>
  <c r="D32" i="3"/>
  <c r="C32" i="3"/>
  <c r="B32" i="3"/>
  <c r="F22" i="7"/>
  <c r="F21" i="7"/>
  <c r="F19" i="7"/>
  <c r="F18" i="7"/>
  <c r="F16" i="7"/>
  <c r="F15" i="7"/>
  <c r="F14" i="7"/>
  <c r="F12" i="7"/>
  <c r="F11" i="7"/>
  <c r="F10" i="7"/>
  <c r="F9" i="7"/>
  <c r="F7" i="7"/>
  <c r="F6" i="7"/>
  <c r="E22" i="5" l="1"/>
  <c r="D22" i="5"/>
  <c r="C22" i="5"/>
  <c r="D23" i="5"/>
  <c r="B12" i="5"/>
</calcChain>
</file>

<file path=xl/sharedStrings.xml><?xml version="1.0" encoding="utf-8"?>
<sst xmlns="http://schemas.openxmlformats.org/spreadsheetml/2006/main" count="317" uniqueCount="307">
  <si>
    <t>⚙️  SETUP — AF_Acciones Template (US Stocks)</t>
  </si>
  <si>
    <t>Fill the GREEN cells before using. Power Query reads this sheet automatically.</t>
  </si>
  <si>
    <t>🔑  FINANCIAL MODELING PREP (FMP) — US Stocks</t>
  </si>
  <si>
    <t>FMP API Key</t>
  </si>
  <si>
    <t>⚠️  Paste your key from financialmodelingprep.com/dashboard</t>
  </si>
  <si>
    <t>Ticker (US company)</t>
  </si>
  <si>
    <t>MSFT</t>
  </si>
  <si>
    <t>E.g.: MSFT · ADBE · AMZN  (letters only)</t>
  </si>
  <si>
    <t>Number of quarters</t>
  </si>
  <si>
    <t>4</t>
  </si>
  <si>
    <t>Max 5 on the free FMP plan</t>
  </si>
  <si>
    <t>FOREIGN STOCKS — Manual entry</t>
  </si>
  <si>
    <t xml:space="preserve">For foreign tickers there is no free API. Fill Input_Data manually from Yahoo Finance (e.g: ticker.MX) </t>
  </si>
  <si>
    <t>📋  HOW TO USE POWER QUERY (US stocks)</t>
  </si>
  <si>
    <t>1. Paste your API Key in the green cell B5 of this sheet.</t>
  </si>
  <si>
    <t>2. Enter the US ticker in the green cell B6 (e.g.: ADBE).</t>
  </si>
  <si>
    <t>3. Go to Data → Queries &amp; Connections → right-click each query → Refresh.</t>
  </si>
  <si>
    <t>4. Data will populate automatically in the FMP_Data sheet.</t>
  </si>
  <si>
    <t>5. The Input_Data sheet pulls values from FMP_Data via formulas.</t>
  </si>
  <si>
    <t>6. Go to Analysis to read the traffic-light signals.</t>
  </si>
  <si>
    <t>7. Save the file as: AF_Stocks_TICKER_YYYYMM.xlsx</t>
  </si>
  <si>
    <t>📡  FMP DATA — Populated automatically by Power Query</t>
  </si>
  <si>
    <t>DO NOT edit this sheet manually. Use Data → Refresh All to update.</t>
  </si>
  <si>
    <t>⚡ POWER QUERY: Data → Get Data → From Web → paste the URL below with your API key. Repeat for Income Statement, Balance Sheet and Cash Flow.</t>
  </si>
  <si>
    <t>Income Statement (4 quarters):</t>
  </si>
  <si>
    <t>https://financialmodelingprep.com/stable/income-statement?symbol=TICKER&amp;period=quarter&amp;limit=4&amp;apikey=YOUR_KEY</t>
  </si>
  <si>
    <t>Balance Sheet (4 quarters):</t>
  </si>
  <si>
    <t>https://financialmodelingprep.com/stable/balance-sheet-statement?symbol=TICKER&amp;period=quarter&amp;limit=4&amp;apikey=YOUR_KEY</t>
  </si>
  <si>
    <t>Cash Flow (4 quarters):</t>
  </si>
  <si>
    <t>https://financialmodelingprep.com/stable/cash-flow-statement?symbol=TICKER&amp;period=quarter&amp;limit=4&amp;apikey=YOUR_KEY</t>
  </si>
  <si>
    <t>Current Price:</t>
  </si>
  <si>
    <t>https://financialmodelingprep.com/stable/quote?symbol=TICKER&amp;apikey=YOUR_KEY</t>
  </si>
  <si>
    <t>Replace TICKER with the symbol (e.g.: ADBE) and YOUR_KEY with your FMP API key. After setting up Power Query, this sheet fills automatically.</t>
  </si>
  <si>
    <t>Field</t>
  </si>
  <si>
    <t>Q1 (most recent)</t>
  </si>
  <si>
    <t>Q2</t>
  </si>
  <si>
    <t>Q3</t>
  </si>
  <si>
    <t>Q4</t>
  </si>
  <si>
    <t>FMP Source</t>
  </si>
  <si>
    <t>date (quarter end date)</t>
  </si>
  <si>
    <t>revenue (Total Revenue)</t>
  </si>
  <si>
    <t>costOfRevenue (Cost of Revenue)</t>
  </si>
  <si>
    <t>grossProfit (Gross Profit)</t>
  </si>
  <si>
    <t>operatingExpenses (Operating Expense)</t>
  </si>
  <si>
    <t>ebitda (EBITDA)</t>
  </si>
  <si>
    <t>operatingIncome (EBIT / Operating Income)</t>
  </si>
  <si>
    <t>interestExpense (Interest Expense)</t>
  </si>
  <si>
    <t>incomeBeforeTax (Pretax Income / EBT)</t>
  </si>
  <si>
    <t>incomeTaxExpense (Tax Provision)</t>
  </si>
  <si>
    <t>netIncome (Net Income)</t>
  </si>
  <si>
    <t>eps (Diluted EPS)</t>
  </si>
  <si>
    <t>dividendsPaid (Dividends Paid) [Cash Flow]</t>
  </si>
  <si>
    <t>capitalExpenditure (CAPEX) [Cash Flow]</t>
  </si>
  <si>
    <t>operatingCashFlow (CFO) [Cash Flow]</t>
  </si>
  <si>
    <t>freeCashFlow (FCF) [Cash Flow]</t>
  </si>
  <si>
    <t>cashAndCashEquivalents (Cash) [Balance]</t>
  </si>
  <si>
    <t>totalCurrentAssets [Balance]</t>
  </si>
  <si>
    <t>totalAssets [Balance]</t>
  </si>
  <si>
    <t>totalCurrentLiabilities [Balance]</t>
  </si>
  <si>
    <t>totalDebt [Balance]</t>
  </si>
  <si>
    <t>totalLiabilities [Balance]</t>
  </si>
  <si>
    <t>totalStockholdersEquity (Common Stock Equity) [Balance]</t>
  </si>
  <si>
    <t>weightedAverageShsOutDil (Shares Outstanding) [IS]</t>
  </si>
  <si>
    <t>📊  FINANCIAL ANALYSIS — INPUT DATA (Stocks)</t>
  </si>
  <si>
    <t>🟡 YELLOW = fill manually · 🔵 BLUE = auto-populated from FMP_Data · Sources: FMP · Yahoo Finance · stockanalysis.com</t>
  </si>
  <si>
    <t>FIELD</t>
  </si>
  <si>
    <t>Q4 (oldest)</t>
  </si>
  <si>
    <t>📅 Quarter end date</t>
  </si>
  <si>
    <t>GENERAL INFORMATION</t>
  </si>
  <si>
    <t>Company Name</t>
  </si>
  <si>
    <t>Ticker / Symbol</t>
  </si>
  <si>
    <t>Market (US / MX / other)</t>
  </si>
  <si>
    <t>Share Price (USD or MXN)
→ Update manually each quarter · stockanalysis.com</t>
  </si>
  <si>
    <t>Shares Outstanding</t>
  </si>
  <si>
    <t>📋 INCOME STATEMENT</t>
  </si>
  <si>
    <t>Total Revenue / Net Sales</t>
  </si>
  <si>
    <t>Cost of Revenue (COGS)</t>
  </si>
  <si>
    <t>Gross Profit</t>
  </si>
  <si>
    <t>Operating Expense (SG&amp;A + R&amp;D)</t>
  </si>
  <si>
    <t>EBITDA</t>
  </si>
  <si>
    <t>EBIT / Operating Income</t>
  </si>
  <si>
    <t>Interest Expense</t>
  </si>
  <si>
    <t>Pretax Income (EBT)</t>
  </si>
  <si>
    <t>Tax Provision</t>
  </si>
  <si>
    <t>Net Income</t>
  </si>
  <si>
    <t>Diluted EPS</t>
  </si>
  <si>
    <t>Dividend Per Share
→ Yahoo Finance → Statistics</t>
  </si>
  <si>
    <t>🏦 BALANCE SHEET</t>
  </si>
  <si>
    <t>Cash &amp; Cash Equivalents</t>
  </si>
  <si>
    <t>Total Current Assets</t>
  </si>
  <si>
    <t>Total Assets</t>
  </si>
  <si>
    <t>Total Current Liabilities</t>
  </si>
  <si>
    <t>Total Debt (ST + LT)</t>
  </si>
  <si>
    <t>Total Liabilities</t>
  </si>
  <si>
    <t>Common Stock Equity</t>
  </si>
  <si>
    <t>Book Value Per Share</t>
  </si>
  <si>
    <t>💵 CASH FLOW STATEMENT</t>
  </si>
  <si>
    <t>Operating Cash Flow (CFO)</t>
  </si>
  <si>
    <t>Capital Expenditure (CAPEX)</t>
  </si>
  <si>
    <t>Free Cash Flow (FCF = CFO − CAPEX)</t>
  </si>
  <si>
    <t>Dividends Paid</t>
  </si>
  <si>
    <t>Share Buybacks</t>
  </si>
  <si>
    <t>🔵 BLUE = auto-populated from Power Query (FMP) / or manually · 🟡 YELLOW = fill manually · Share Price always manual · Dividend Per Share manual from Yahoo Finance → Statistics</t>
  </si>
  <si>
    <t>📌 File naming: AF_Stocks_TICKER_YYYYMM.xlsx  E.g.: AF_Stocks_ADBE_202608.xlsx</t>
  </si>
  <si>
    <t>📈  FINANCIAL RATIO ANALYSIS</t>
  </si>
  <si>
    <t>Ratios calculate automatically from Input_Data. Refresh Power Query to update.</t>
  </si>
  <si>
    <t>🟢 GOOD = Healthy   🟡 REVIEW = Caution   🔴 ALERT = Risk   ⚪ N/A = No data   (Traffic light based on Q1 — most recent quarter)</t>
  </si>
  <si>
    <t>RATIO</t>
  </si>
  <si>
    <t>Q1 (latest)</t>
  </si>
  <si>
    <t>INTERPRETATION</t>
  </si>
  <si>
    <t>SIGNAL</t>
  </si>
  <si>
    <t>📅 Reference date</t>
  </si>
  <si>
    <t>→ auto-fills from FMP_Data after Power Query refresh</t>
  </si>
  <si>
    <t>── VALUATION  (Is the stock expensive?) ──</t>
  </si>
  <si>
    <t>P/E — Price / Earnings</t>
  </si>
  <si>
    <t>Years to recoup from earnings. &lt;15x cheap · 15-25x fair · &gt;25x expensive.</t>
  </si>
  <si>
    <t>P/B — Price / Book Value</t>
  </si>
  <si>
    <t>&lt;1x cheap · 1-3x normal · &gt;3x expensive or intangibles-heavy.</t>
  </si>
  <si>
    <t>── PROFITABILITY  (Does it make money?) ──</t>
  </si>
  <si>
    <t>Gross Margin</t>
  </si>
  <si>
    <t>Higher = more efficient. Tech &gt;60% · Industrial &gt;30% · Retail ~25%.</t>
  </si>
  <si>
    <t>Operating Margin (EBIT / Revenue)</t>
  </si>
  <si>
    <t>Core profitability. &gt;15% good · 8-15% normal · &lt;8% alert.</t>
  </si>
  <si>
    <t>Net Margin</t>
  </si>
  <si>
    <t>What remains per $100 of revenue. &gt;10% good · 5-10% normal · &lt;5% alert.</t>
  </si>
  <si>
    <t>ROE — Return on Equity</t>
  </si>
  <si>
    <t>Returns on shareholders' capital. &gt;15% excellent · 10-15% good · &lt;10% review.</t>
  </si>
  <si>
    <t>── DEBT &amp; SOLVENCY  (Can it pay what it owes?) ──</t>
  </si>
  <si>
    <t>Current Ratio</t>
  </si>
  <si>
    <t>Short-term liquidity. &gt;2x comfortable · 1-2x normal · &lt;1x risk.</t>
  </si>
  <si>
    <t>Debt / Equity</t>
  </si>
  <si>
    <t>&lt;0.5x very healthy · 0.5-1.5x normal · &gt;1.5x leveraged.</t>
  </si>
  <si>
    <t>Debt / EBITDA</t>
  </si>
  <si>
    <t>Years to repay debt from EBITDA. &lt;2x excellent · 2-4x normal · &gt;5x alert.</t>
  </si>
  <si>
    <t>Interest Coverage (EBIT / Interest)</t>
  </si>
  <si>
    <t>&gt;3x comfortable · 1.5-3x tight · &lt;1.5x dangerous.</t>
  </si>
  <si>
    <t>── DIVIDENDS &amp; CASH  (Does it generate and share cash?) ──</t>
  </si>
  <si>
    <t>Dividend Yield</t>
  </si>
  <si>
    <t>Annual return via dividend. 2-5% attractive. &gt;7% may signal risk.</t>
  </si>
  <si>
    <t>FCF Yield (Free Cash / Market Cap)</t>
  </si>
  <si>
    <t>Free cash as % of market cap. &gt;5% very attractive · 2-5% normal · &lt;2% alert.</t>
  </si>
  <si>
    <t>⚠️  Signals are general guides. Always benchmark vs the sector. A P/E of 30x can be fair in tech but expensive in consumer staples.</t>
  </si>
  <si>
    <t>📊  MY POSITION IN [TICKER] — Personal Analysis</t>
  </si>
  <si>
    <t>🟡 YELLOW = update manually  ·  🔵 BLUE = auto-calculated  ·  Source: stockanalysis.com/msft</t>
  </si>
  <si>
    <t>🛒  MY PURCHASES IN MSFT</t>
  </si>
  <si>
    <t>VALUE</t>
  </si>
  <si>
    <t>NOTE</t>
  </si>
  <si>
    <t>Avg Purchase Price (USD)
→ From your GBM transaction history</t>
  </si>
  <si>
    <t>Your weighted average cost across all purchases</t>
  </si>
  <si>
    <t>Number of Shares
→ From your GBM account</t>
  </si>
  <si>
    <t>Total shares in your portfolio</t>
  </si>
  <si>
    <t>Total Investment Cost (USD)
(auto-calculated)</t>
  </si>
  <si>
    <t>Your total investment in this asset</t>
  </si>
  <si>
    <t>💹  CURRENT PRICE (update each time you analyse)</t>
  </si>
  <si>
    <t>Current Price per Share (USD)
→ stockanalysis.com/msft → live price</t>
  </si>
  <si>
    <t>Update this price each time you analyse MSFT</t>
  </si>
  <si>
    <t>Current Position Value (USD)
(auto-calculated)</t>
  </si>
  <si>
    <t>Current market value of your shares</t>
  </si>
  <si>
    <t>📈  GAIN / LOSS</t>
  </si>
  <si>
    <t>Total Gain / Loss (USD)</t>
  </si>
  <si>
    <t>Positive = unrealised gain · Negative = unrealised loss</t>
  </si>
  <si>
    <t>Return (%)</t>
  </si>
  <si>
    <t>Your return on initial investment</t>
  </si>
  <si>
    <t>Gain / Loss per Share (USD)</t>
  </si>
  <si>
    <t>How much you gain or lose per share</t>
  </si>
  <si>
    <t>Have I recouped my investment?</t>
  </si>
  <si>
    <t>Compares current price vs your average purchase price</t>
  </si>
  <si>
    <t>Dividendo anual recibido (USD)
(con 3 acciones)</t>
  </si>
  <si>
    <t>Annual dividend of $3.64 per share × your 3 shares</t>
  </si>
  <si>
    <t>🔬  ANALYST OPINION (additional context — not a guarantee)</t>
  </si>
  <si>
    <t>Analyst Recommendation
→ stockanalysis.com → 'Analysts' tab</t>
  </si>
  <si>
    <t>Institutional analyst consensus. Not a guarantee — context only.</t>
  </si>
  <si>
    <t>Analyst Price Target (USD)
→ stockanalysis.com → 'Price Target'</t>
  </si>
  <si>
    <t>Implied upside potential: 15.0% from current price. Update each quarter.</t>
  </si>
  <si>
    <t>⏱️  RULE OF 72 — Growth projections</t>
  </si>
  <si>
    <t>SCENARIO</t>
  </si>
  <si>
    <t>ANNUAL RATE</t>
  </si>
  <si>
    <t>YEARS TO DOUBLE</t>
  </si>
  <si>
    <t>VALUE IN 5 YEARS (USD)</t>
  </si>
  <si>
    <t>VALUE IN 10 YEARS (USD)</t>
  </si>
  <si>
    <t>Actual return on your purchase to date</t>
  </si>
  <si>
    <t>Reference: S&amp;P 500 average annual return (10 years)
→ This 15% is the historical return of the INDEX, not the P/E
→ Use it to compare how much your money could grow if it were in VOO</t>
  </si>
  <si>
    <t>Base scenario (10%/yr)</t>
  </si>
  <si>
    <t>Conservative scenario (7%/yr)</t>
  </si>
  <si>
    <t>🎯  BUY ZONE — When is it attractive to buy more MSFT?</t>
  </si>
  <si>
    <t>🟡 Update yellow cells each month or quarter  ·  stockanalysis.com/msft has everything on one screen</t>
  </si>
  <si>
    <t>DATA FIELD / EXACT SOURCE</t>
  </si>
  <si>
    <t>CURRENT VALUE
(🟡 you fill this in)</t>
  </si>
  <si>
    <t>ATTRACTIVE ZONE</t>
  </si>
  <si>
    <t>EXPENSIVE ZONE</t>
  </si>
  <si>
    <t>── 1. P/E RATIO — Is the stock expensive? ──</t>
  </si>
  <si>
    <t>P/E (TTM)
→ stockanalysis.com/msft → 'PE Ratio (TTM)'</t>
  </si>
  <si>
    <t>&lt; 22.0x  (annual low)</t>
  </si>
  <si>
    <t>&gt; 38.0x  (annual high)</t>
  </si>
  <si>
    <t>Forward P/E (next 12 months)
→ stockanalysis.com → 'Forward PE'</t>
  </si>
  <si>
    <t>Forward P/E uses estimated future earnings — more relevant than TTM for growth companies. Lower Forward P/E = market expects earnings to grow.</t>
  </si>
  <si>
    <t>Historical Avg P/E
→ stockanalysis.com/stocks/msft/financials/ → 'PE Ratio' column → average last 5 fiscal years manually</t>
  </si>
  <si>
    <t>Average the 'PE Ratio' column for the last 5 fiscal years at stockanalysis.com/stocks/msft/financials/</t>
  </si>
  <si>
    <t>📊 P/E vs. Historical Average
(premium or discount vs own history)</t>
  </si>
  <si>
    <t>P/B (Price / Book)
→ stockanalysis.com → Statistics → 'P/B Ratio'</t>
  </si>
  <si>
    <t>&lt; 1.5x  (cheap vs book value)</t>
  </si>
  <si>
    <t>&gt; 5.0x  (expensive — normal in tech)</t>
  </si>
  <si>
    <t>── 2. PRICE IN ANNUAL RANGE ──</t>
  </si>
  <si>
    <t>52-Week Low (USD)
→ stockanalysis.com/msft → '52-Week Range'</t>
  </si>
  <si>
    <t>Buying near this price = attractive zone</t>
  </si>
  <si>
    <t>🟢 Low zone</t>
  </si>
  <si>
    <t>52-Week High (USD)
→ stockanalysis.com/msft → '52-Week Range'</t>
  </si>
  <si>
    <t>Avoid buying near this price</t>
  </si>
  <si>
    <t>🔴 High zone</t>
  </si>
  <si>
    <t>% Position in annual range
(0% = low · 100% = high)</t>
  </si>
  <si>
    <t>&lt; 33%  → lower third (attractive)</t>
  </si>
  <si>
    <t>&gt; 67%  → upper third (expensive)</t>
  </si>
  <si>
    <t>── 3. TARGET PRICE ──</t>
  </si>
  <si>
    <t>Target Entry Price (USD)
Formula: current price × (historical P/E ÷ current P/E)
= price if P/E reverted to its 5yr average</t>
  </si>
  <si>
    <t>⚠️  This price is NOT VALID until you fill in the historical P/E above. Once filled, the target price calculates automatically.</t>
  </si>
  <si>
    <t>CONCLUSION</t>
  </si>
  <si>
    <t>📌 Update current price, P/E, Forward P/E and 52W range each month or quarter. stockanalysis.com/msft has everything on one screen. The target price is a reference — not a guarantee of future returns.</t>
  </si>
  <si>
    <t>🔬  DuPont Ratio Pyramid — [Company Name] ([TICKER])</t>
  </si>
  <si>
    <t>ROE = Net Margin × Asset Turnover × Financial Leverage   ·   All values from Input_Data   ·   Q1 = most recent</t>
  </si>
  <si>
    <t>Each box shows 4 quarters: Q1 (latest) | Q2 | Q3 | Q4 (oldest)</t>
  </si>
  <si>
    <t>NET MARGIN  =  Net Income ÷ Revenue</t>
  </si>
  <si>
    <t>ASSET TURNOVER  =  Revenue ÷ Total Assets</t>
  </si>
  <si>
    <t>FINANCIAL LEVERAGE  =  Assets ÷ Equity</t>
  </si>
  <si>
    <t>GROSS MARGIN</t>
  </si>
  <si>
    <t>OPERATING MARGIN</t>
  </si>
  <si>
    <t>CURRENT ASSETS / REV</t>
  </si>
  <si>
    <t>INVENTORY TURNOVER</t>
  </si>
  <si>
    <t>DEBT / EQUITY</t>
  </si>
  <si>
    <t>CURRENT RATIO</t>
  </si>
  <si>
    <t>REVENUE</t>
  </si>
  <si>
    <t>COGS</t>
  </si>
  <si>
    <t>EBIT</t>
  </si>
  <si>
    <t>INTEREST</t>
  </si>
  <si>
    <t>TOTAL ASSETS</t>
  </si>
  <si>
    <t>NET INCOME</t>
  </si>
  <si>
    <t>TOTAL LIABILITIES</t>
  </si>
  <si>
    <t>COMMON EQUITY</t>
  </si>
  <si>
    <t>USD values = billions (B)  ·  Net Margin × Asset Turnover × Financial Leverage = ROE  ·  Refresh Power Query to update</t>
  </si>
  <si>
    <t>WHAT DRIVES MSFT'S ROE?</t>
  </si>
  <si>
    <t>High Net Margin (~40%)</t>
  </si>
  <si>
    <t>Microsoft's cloud and software licensing model generates very high margins with low incremental cost per unit sold. This is the PRIMARY driver of its ROE.</t>
  </si>
  <si>
    <t>Low Asset Turnover (~0.12x)</t>
  </si>
  <si>
    <t>MSFT has a massive asset base (cloud infrastructure, data centres, Activision goodwill). It generates less revenue per dollar of assets than pure-software peers — a natural trade-off for infrastructure scale.</t>
  </si>
  <si>
    <t>Moderate Leverage (~1.7x)</t>
  </si>
  <si>
    <t>MSFT is conservatively financed for its size. Leverage is NOT the key driver — improving margins (Azure growth, Copilot monetisation) or asset efficiency would lift ROE without added risk.</t>
  </si>
  <si>
    <t>🔍  SECTOR BENCHMARK</t>
  </si>
  <si>
    <t>Enter data from the most recent quarter for each company. Sources: Yahoo Finance, Macrotrends, FMP.</t>
  </si>
  <si>
    <t>RATIO / METRIC</t>
  </si>
  <si>
    <t>Company 1 (main)</t>
  </si>
  <si>
    <t>Company 2</t>
  </si>
  <si>
    <t>Company 3</t>
  </si>
  <si>
    <t>Sector Average</t>
  </si>
  <si>
    <t>WINNER?</t>
  </si>
  <si>
    <t>Ticker / Name</t>
  </si>
  <si>
    <t>—</t>
  </si>
  <si>
    <t>── VALUATION ──</t>
  </si>
  <si>
    <t>P/E — Price/Earnings (x)</t>
  </si>
  <si>
    <t>P/B — Price/Book Value (x)</t>
  </si>
  <si>
    <t>── PROFITABILITY ──</t>
  </si>
  <si>
    <t>Gross Margin (%)</t>
  </si>
  <si>
    <t>Operating Margin (%)</t>
  </si>
  <si>
    <t>Net Margin (%)</t>
  </si>
  <si>
    <t>ROE — Return on Equity (%)</t>
  </si>
  <si>
    <t>── DEBT ──</t>
  </si>
  <si>
    <t>Current Ratio (x)</t>
  </si>
  <si>
    <t>Debt/EBITDA (x)</t>
  </si>
  <si>
    <t>Debt/Equity (x)</t>
  </si>
  <si>
    <t>── DIVIDENDS &amp; CASH ──</t>
  </si>
  <si>
    <t>Dividend Yield (%)</t>
  </si>
  <si>
    <t>FCF Yield (%)</t>
  </si>
  <si>
    <t>── GROWTH ──</t>
  </si>
  <si>
    <t>Revenue Growth YoY (%)</t>
  </si>
  <si>
    <t>Net Income Growth YoY (%)</t>
  </si>
  <si>
    <t>🟡 YELLOW cells = enter the most recent Q data for each company · Sources: Yahoo Finance, Macrotrends.net, FMP</t>
  </si>
  <si>
    <t>📖  USER GUIDE — AF_Acciones Template</t>
  </si>
  <si>
    <t>STEP</t>
  </si>
  <si>
    <t>WHAT TO DO</t>
  </si>
  <si>
    <t>1. Set up FMP</t>
  </si>
  <si>
    <t>Go to Setup sheet → paste your API Key in B5 → enter the US ticker in B6.</t>
  </si>
  <si>
    <t>2. Refresh Power Query</t>
  </si>
  <si>
    <t>Data → Queries &amp; Connections → right-click each query → Refresh. Data populates FMP_Data automatically.</t>
  </si>
  <si>
    <t>3. For MX stocks</t>
  </si>
  <si>
    <t>Fill Input_Data manually from Yahoo Finance (ticker.MX) or BMV. Yellow cells = manual entry.</t>
  </si>
  <si>
    <t>4. Read Analysis</t>
  </si>
  <si>
    <t>🟢 GOOD · 🟡 REVIEW · 🔴 ALERT. Traffic light based on Q1 — most recent quarter.</t>
  </si>
  <si>
    <t>5. Benchmark</t>
  </si>
  <si>
    <t>Fill Sector_Benchmark with the same ratios for 2 competitors in the sector.</t>
  </si>
  <si>
    <t>6. Save</t>
  </si>
  <si>
    <t>Use naming convention: AF_Acciones_TICKER_YYYYMM.xlsx  E.g.: AF_Stocks_ADBE_202608.xlsx</t>
  </si>
  <si>
    <t>US SOURCES</t>
  </si>
  <si>
    <t>financialmodelingprep.com (FMP) · SEC EDGAR (edgar.sec.gov) · stockanalysis.com · Yahoo Finance</t>
  </si>
  <si>
    <t>MX SOURCES</t>
  </si>
  <si>
    <t>Yahoo Finance · stockanalysis.com · With your broker</t>
  </si>
  <si>
    <t>KEY RATIOS</t>
  </si>
  <si>
    <t>P/E Ratio</t>
  </si>
  <si>
    <t>Years to recoup from earnings. &lt;15x cheap · &gt;25x expensive.</t>
  </si>
  <si>
    <t>P/B Ratio</t>
  </si>
  <si>
    <t>Price vs book value. &lt;1x technically cheap.</t>
  </si>
  <si>
    <t>Operating Margin</t>
  </si>
  <si>
    <t>Core profitability. &gt;15% good for most sectors.</t>
  </si>
  <si>
    <t>ROE</t>
  </si>
  <si>
    <t>&gt;15% excellent. How well it uses shareholders' capital.</t>
  </si>
  <si>
    <t>Debt/EBITDA</t>
  </si>
  <si>
    <t>&lt;2x excellent. &gt;5x over-leverage alert.</t>
  </si>
  <si>
    <t>FCF Yield</t>
  </si>
  <si>
    <t>&gt;5% very attractive. Free cash as % of price.</t>
  </si>
  <si>
    <t>2-5% attractive. &gt;7% may signal a cut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</si>
</sst>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[$-409]d\-mmm\-yyyy;@"/>
    <numFmt numFmtId="165" formatCode="0.00\x"/>
    <numFmt numFmtId="166" formatCode="0.0%"/>
    <numFmt numFmtId="167" formatCode="\$#,##0.00"/>
    <numFmt numFmtId="168" formatCode="#,##0.####"/>
    <numFmt numFmtId="169" formatCode="0.0&quot; years&quot;"/>
    <numFmt numFmtId="170" formatCode="\+0.0%;\-0.0%;0.0%"/>
    <numFmt numFmtId="171" formatCode="0.0000\x"/>
    <numFmt numFmtId="172" formatCode="0\B"/>
  </numFmts>
  <fonts count="4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A1A2E"/>
      <name val="Arial"/>
      <charset val="1"/>
    </font>
    <font>
      <b/>
      <sz val="10"/>
      <color rgb="FF1B5E20"/>
      <name val="Arial"/>
      <charset val="1"/>
    </font>
    <font>
      <i/>
      <sz val="8"/>
      <color rgb="FF888888"/>
      <name val="Arial"/>
      <charset val="1"/>
    </font>
    <font>
      <i/>
      <sz val="8"/>
      <color rgb="FF555555"/>
      <name val="Arial"/>
      <charset val="1"/>
    </font>
    <font>
      <sz val="9"/>
      <color rgb="FF333333"/>
      <name val="Arial"/>
      <charset val="1"/>
    </font>
    <font>
      <i/>
      <sz val="8"/>
      <color rgb="FF0D47A1"/>
      <name val="Arial"/>
      <charset val="1"/>
    </font>
    <font>
      <sz val="8"/>
      <color rgb="FF0000AA"/>
      <name val="Arial"/>
      <charset val="1"/>
    </font>
    <font>
      <b/>
      <sz val="9"/>
      <color rgb="FFFFFFFF"/>
      <name val="Arial"/>
      <charset val="1"/>
    </font>
    <font>
      <sz val="8"/>
      <color rgb="FF1A1A2E"/>
      <name val="Arial"/>
      <charset val="1"/>
    </font>
    <font>
      <b/>
      <sz val="8"/>
      <color rgb="FFFFFFFF"/>
      <name val="Arial"/>
      <charset val="1"/>
    </font>
    <font>
      <sz val="9"/>
      <color rgb="FF1A1A2E"/>
      <name val="Arial"/>
      <charset val="1"/>
    </font>
    <font>
      <sz val="9"/>
      <color rgb="FF0000AA"/>
      <name val="Arial"/>
      <family val="2"/>
      <charset val="1"/>
    </font>
    <font>
      <sz val="9"/>
      <color rgb="FF0000AA"/>
      <name val="Arial"/>
      <charset val="1"/>
    </font>
    <font>
      <i/>
      <sz val="8"/>
      <color rgb="FF1B5E20"/>
      <name val="Arial"/>
      <charset val="1"/>
    </font>
    <font>
      <b/>
      <sz val="9"/>
      <color rgb="FF333333"/>
      <name val="Arial"/>
      <charset val="1"/>
    </font>
    <font>
      <b/>
      <sz val="13"/>
      <color rgb="FFFFFFFF"/>
      <name val="Arial"/>
      <charset val="1"/>
    </font>
    <font>
      <sz val="8"/>
      <color rgb="FFFFFFFF"/>
      <name val="Arial"/>
      <charset val="1"/>
    </font>
    <font>
      <sz val="10"/>
      <color rgb="FF0000AA"/>
      <name val="Arial"/>
      <charset val="1"/>
    </font>
    <font>
      <sz val="8"/>
      <color rgb="FF555555"/>
      <name val="Arial"/>
      <charset val="1"/>
    </font>
    <font>
      <sz val="10"/>
      <color rgb="FF0D47A1"/>
      <name val="Arial"/>
      <charset val="1"/>
    </font>
    <font>
      <sz val="9"/>
      <color rgb="FF0D47A1"/>
      <name val="Arial"/>
      <charset val="1"/>
    </font>
    <font>
      <b/>
      <sz val="10"/>
      <color rgb="FF283593"/>
      <name val="Arial"/>
      <charset val="1"/>
    </font>
    <font>
      <sz val="8"/>
      <color rgb="FF1B5E20"/>
      <name val="Arial"/>
      <charset val="1"/>
    </font>
    <font>
      <sz val="8"/>
      <color rgb="FFB71C1C"/>
      <name val="Arial"/>
      <charset val="1"/>
    </font>
    <font>
      <b/>
      <sz val="9"/>
      <name val="Arial"/>
      <charset val="1"/>
    </font>
    <font>
      <b/>
      <sz val="10"/>
      <color rgb="FF0D47A1"/>
      <name val="Arial"/>
      <charset val="1"/>
    </font>
    <font>
      <sz val="9"/>
      <name val="Arial"/>
      <charset val="1"/>
    </font>
    <font>
      <b/>
      <sz val="9"/>
      <color rgb="FF1B5E20"/>
      <name val="Arial"/>
      <charset val="1"/>
    </font>
    <font>
      <b/>
      <sz val="9"/>
      <color rgb="FFB71C1C"/>
      <name val="Arial"/>
      <charset val="1"/>
    </font>
    <font>
      <b/>
      <sz val="11"/>
      <color rgb="FF0D47A1"/>
      <name val="Arial"/>
      <charset val="1"/>
    </font>
    <font>
      <i/>
      <sz val="8"/>
      <color rgb="FFB71C1C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  <font>
      <i/>
      <sz val="8"/>
      <color rgb="FF1A5276"/>
      <name val="Arial"/>
      <charset val="1"/>
    </font>
    <font>
      <b/>
      <sz val="7"/>
      <color rgb="FFFFFFFF"/>
      <name val="Arial"/>
      <charset val="1"/>
    </font>
    <font>
      <sz val="9"/>
      <color rgb="FFFFFFFF"/>
      <name val="Arial"/>
      <charset val="1"/>
    </font>
    <font>
      <b/>
      <sz val="10"/>
      <color rgb="FF0000AA"/>
      <name val="Arial"/>
      <charset val="1"/>
    </font>
    <font>
      <b/>
      <sz val="10"/>
      <color rgb="FF1A1A2E"/>
      <name val="Arial"/>
      <charset val="1"/>
    </font>
    <font>
      <b/>
      <sz val="9"/>
      <color rgb="FF1A5276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F0F4F8"/>
        <bgColor rgb="FFEBF5FB"/>
      </patternFill>
    </fill>
    <fill>
      <patternFill patternType="solid">
        <fgColor rgb="FFC8E6C9"/>
        <bgColor rgb="FFBBDEFB"/>
      </patternFill>
    </fill>
    <fill>
      <patternFill patternType="solid">
        <fgColor rgb="FF16213E"/>
        <bgColor rgb="FF1A1A2E"/>
      </patternFill>
    </fill>
    <fill>
      <patternFill patternType="solid">
        <fgColor rgb="FFFFF9C4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E3F2FD"/>
        <bgColor rgb="FFEBF5FB"/>
      </patternFill>
    </fill>
    <fill>
      <patternFill patternType="solid">
        <fgColor rgb="FFFFD166"/>
        <bgColor rgb="FFFFCC00"/>
      </patternFill>
    </fill>
    <fill>
      <patternFill patternType="solid">
        <fgColor rgb="FFBBDEFB"/>
        <bgColor rgb="FFC8E6C9"/>
      </patternFill>
    </fill>
    <fill>
      <patternFill patternType="solid">
        <fgColor rgb="FFE8F5E9"/>
        <bgColor rgb="FFEBF5FB"/>
      </patternFill>
    </fill>
    <fill>
      <patternFill patternType="solid">
        <fgColor rgb="FFF5F5F5"/>
        <bgColor rgb="FFF0F4F8"/>
      </patternFill>
    </fill>
    <fill>
      <patternFill patternType="solid">
        <fgColor rgb="FFE8EAF6"/>
        <bgColor rgb="FFE3F2FD"/>
      </patternFill>
    </fill>
    <fill>
      <patternFill patternType="solid">
        <fgColor rgb="FFFFCDD2"/>
        <bgColor rgb="FFCCCCCC"/>
      </patternFill>
    </fill>
    <fill>
      <patternFill patternType="solid">
        <fgColor rgb="FFEBF5FB"/>
        <bgColor rgb="FFF0F4F8"/>
      </patternFill>
    </fill>
    <fill>
      <patternFill patternType="solid">
        <fgColor rgb="FF1565C0"/>
        <bgColor rgb="FF1976D2"/>
      </patternFill>
    </fill>
    <fill>
      <patternFill patternType="solid">
        <fgColor rgb="FF1976D2"/>
        <bgColor rgb="FF1565C0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0F3460"/>
      </left>
      <right style="medium">
        <color rgb="FF0F3460"/>
      </right>
      <top style="medium">
        <color rgb="FF0F3460"/>
      </top>
      <bottom style="medium">
        <color rgb="FF0F3460"/>
      </bottom>
      <diagonal/>
    </border>
    <border>
      <left style="medium">
        <color rgb="FF0F3460"/>
      </left>
      <right/>
      <top/>
      <bottom/>
      <diagonal/>
    </border>
    <border>
      <left/>
      <right/>
      <top style="medium">
        <color rgb="FF0F3460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medium">
        <color rgb="FF0F3460"/>
      </bottom>
      <diagonal/>
    </border>
    <border>
      <left style="thin">
        <color rgb="FFCCCCCC"/>
      </left>
      <right/>
      <top style="medium">
        <color rgb="FF0F3460"/>
      </top>
      <bottom/>
      <diagonal/>
    </border>
    <border>
      <left style="thin">
        <color rgb="FFCCCCCC"/>
      </left>
      <right/>
      <top style="medium">
        <color rgb="FF0F3460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rgb="FF0F3460"/>
      </left>
      <right style="medium">
        <color rgb="FF0F3460"/>
      </right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0" fillId="0" borderId="2" xfId="0" applyFont="1" applyBorder="1" applyAlignment="1">
      <alignment horizontal="left" vertical="center" wrapText="1"/>
    </xf>
    <xf numFmtId="0" fontId="9" fillId="9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9" fillId="11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13" fillId="3" borderId="3" xfId="0" applyFont="1" applyFill="1" applyBorder="1" applyAlignment="1">
      <alignment horizontal="left" vertical="center"/>
    </xf>
    <xf numFmtId="164" fontId="11" fillId="3" borderId="4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 wrapText="1"/>
    </xf>
    <xf numFmtId="49" fontId="15" fillId="10" borderId="1" xfId="0" applyNumberFormat="1" applyFont="1" applyFill="1" applyBorder="1" applyAlignment="1">
      <alignment horizontal="center" vertical="center"/>
    </xf>
    <xf numFmtId="49" fontId="16" fillId="10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/>
    </xf>
    <xf numFmtId="4" fontId="16" fillId="10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vertical="center" wrapText="1"/>
    </xf>
    <xf numFmtId="3" fontId="16" fillId="10" borderId="1" xfId="0" applyNumberFormat="1" applyFont="1" applyFill="1" applyBorder="1" applyAlignment="1">
      <alignment horizontal="center" vertical="center"/>
    </xf>
    <xf numFmtId="4" fontId="16" fillId="11" borderId="1" xfId="0" applyNumberFormat="1" applyFont="1" applyFill="1" applyBorder="1" applyAlignment="1">
      <alignment horizontal="center" vertical="center"/>
    </xf>
    <xf numFmtId="2" fontId="16" fillId="11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vertical="center"/>
    </xf>
    <xf numFmtId="164" fontId="6" fillId="3" borderId="1" xfId="0" applyNumberFormat="1" applyFont="1" applyFill="1" applyBorder="1" applyAlignment="1">
      <alignment horizontal="center" vertical="center"/>
    </xf>
    <xf numFmtId="165" fontId="14" fillId="8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165" fontId="14" fillId="4" borderId="1" xfId="0" applyNumberFormat="1" applyFont="1" applyFill="1" applyBorder="1" applyAlignment="1">
      <alignment horizontal="center" vertical="center"/>
    </xf>
    <xf numFmtId="166" fontId="14" fillId="4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166" fontId="14" fillId="8" borderId="1" xfId="0" applyNumberFormat="1" applyFont="1" applyFill="1" applyBorder="1" applyAlignment="1">
      <alignment horizontal="center" vertical="center"/>
    </xf>
    <xf numFmtId="167" fontId="21" fillId="10" borderId="1" xfId="0" applyNumberFormat="1" applyFont="1" applyFill="1" applyBorder="1" applyAlignment="1">
      <alignment horizontal="center" vertical="center" wrapText="1"/>
    </xf>
    <xf numFmtId="168" fontId="21" fillId="10" borderId="1" xfId="0" applyNumberFormat="1" applyFont="1" applyFill="1" applyBorder="1" applyAlignment="1">
      <alignment horizontal="center" vertical="center" wrapText="1"/>
    </xf>
    <xf numFmtId="167" fontId="23" fillId="9" borderId="1" xfId="0" applyNumberFormat="1" applyFont="1" applyFill="1" applyBorder="1" applyAlignment="1">
      <alignment horizontal="center" vertical="center" wrapText="1"/>
    </xf>
    <xf numFmtId="10" fontId="23" fillId="9" borderId="1" xfId="0" applyNumberFormat="1" applyFont="1" applyFill="1" applyBorder="1" applyAlignment="1">
      <alignment horizontal="center" vertical="center" wrapText="1"/>
    </xf>
    <xf numFmtId="49" fontId="23" fillId="9" borderId="1" xfId="0" applyNumberFormat="1" applyFont="1" applyFill="1" applyBorder="1" applyAlignment="1">
      <alignment horizontal="center" vertical="center" wrapText="1"/>
    </xf>
    <xf numFmtId="167" fontId="24" fillId="9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10" fontId="24" fillId="9" borderId="1" xfId="0" applyNumberFormat="1" applyFont="1" applyFill="1" applyBorder="1" applyAlignment="1">
      <alignment horizontal="center" vertical="center"/>
    </xf>
    <xf numFmtId="169" fontId="24" fillId="9" borderId="1" xfId="0" applyNumberFormat="1" applyFont="1" applyFill="1" applyBorder="1" applyAlignment="1">
      <alignment horizontal="center" vertical="center"/>
    </xf>
    <xf numFmtId="167" fontId="24" fillId="9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10" fontId="8" fillId="5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10" fontId="8" fillId="13" borderId="1" xfId="0" applyNumberFormat="1" applyFont="1" applyFill="1" applyBorder="1" applyAlignment="1">
      <alignment horizontal="center" vertical="center"/>
    </xf>
    <xf numFmtId="165" fontId="21" fillId="10" borderId="1" xfId="0" applyNumberFormat="1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left" vertical="center" wrapText="1"/>
    </xf>
    <xf numFmtId="170" fontId="29" fillId="9" borderId="1" xfId="0" applyNumberFormat="1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2" fillId="15" borderId="1" xfId="0" applyFont="1" applyFill="1" applyBorder="1" applyAlignment="1">
      <alignment horizontal="center" vertical="center" wrapText="1"/>
    </xf>
    <xf numFmtId="9" fontId="23" fillId="9" borderId="1" xfId="0" applyNumberFormat="1" applyFont="1" applyFill="1" applyBorder="1" applyAlignment="1">
      <alignment horizontal="center" vertical="center" wrapText="1"/>
    </xf>
    <xf numFmtId="167" fontId="33" fillId="9" borderId="1" xfId="0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10" fontId="11" fillId="3" borderId="1" xfId="0" applyNumberFormat="1" applyFont="1" applyFill="1" applyBorder="1" applyAlignment="1">
      <alignment horizontal="center" vertical="center"/>
    </xf>
    <xf numFmtId="10" fontId="39" fillId="6" borderId="1" xfId="0" applyNumberFormat="1" applyFont="1" applyFill="1" applyBorder="1" applyAlignment="1">
      <alignment horizontal="center" vertical="center"/>
    </xf>
    <xf numFmtId="171" fontId="39" fillId="6" borderId="1" xfId="0" applyNumberFormat="1" applyFont="1" applyFill="1" applyBorder="1" applyAlignment="1">
      <alignment horizontal="center" vertical="center"/>
    </xf>
    <xf numFmtId="165" fontId="39" fillId="6" borderId="1" xfId="0" applyNumberFormat="1" applyFont="1" applyFill="1" applyBorder="1" applyAlignment="1">
      <alignment horizontal="center" vertical="center"/>
    </xf>
    <xf numFmtId="10" fontId="20" fillId="17" borderId="1" xfId="0" applyNumberFormat="1" applyFont="1" applyFill="1" applyBorder="1" applyAlignment="1">
      <alignment horizontal="center" vertical="center"/>
    </xf>
    <xf numFmtId="165" fontId="20" fillId="17" borderId="1" xfId="0" applyNumberFormat="1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172" fontId="12" fillId="11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0" fillId="11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42" fillId="8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17" fillId="12" borderId="0" xfId="0" applyFont="1" applyFill="1" applyAlignment="1">
      <alignment horizontal="center" vertical="center" wrapText="1"/>
    </xf>
    <xf numFmtId="0" fontId="0" fillId="0" borderId="0" xfId="0"/>
    <xf numFmtId="0" fontId="7" fillId="7" borderId="0" xfId="0" applyFont="1" applyFill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25" fillId="14" borderId="4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22" fillId="8" borderId="12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30" fillId="4" borderId="2" xfId="0" applyFont="1" applyFill="1" applyBorder="1" applyAlignment="1">
      <alignment horizontal="left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26" fillId="5" borderId="14" xfId="0" applyFont="1" applyFill="1" applyBorder="1" applyAlignment="1">
      <alignment horizontal="center" vertical="center" wrapText="1"/>
    </xf>
    <xf numFmtId="0" fontId="27" fillId="15" borderId="15" xfId="0" applyFont="1" applyFill="1" applyBorder="1" applyAlignment="1">
      <alignment horizontal="center" vertical="center" wrapText="1"/>
    </xf>
    <xf numFmtId="0" fontId="34" fillId="15" borderId="14" xfId="0" applyFont="1" applyFill="1" applyBorder="1" applyAlignment="1">
      <alignment horizontal="center" vertical="center" wrapText="1"/>
    </xf>
    <xf numFmtId="0" fontId="35" fillId="7" borderId="16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36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7" fillId="16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0" fontId="11" fillId="3" borderId="2" xfId="0" applyNumberFormat="1" applyFont="1" applyFill="1" applyBorder="1" applyAlignment="1">
      <alignment horizontal="center" vertical="center"/>
    </xf>
    <xf numFmtId="0" fontId="38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10" fontId="39" fillId="6" borderId="2" xfId="0" applyNumberFormat="1" applyFont="1" applyFill="1" applyBorder="1" applyAlignment="1">
      <alignment horizontal="center" vertical="center"/>
    </xf>
    <xf numFmtId="171" fontId="39" fillId="6" borderId="2" xfId="0" applyNumberFormat="1" applyFont="1" applyFill="1" applyBorder="1" applyAlignment="1">
      <alignment horizontal="center" vertical="center"/>
    </xf>
    <xf numFmtId="165" fontId="39" fillId="6" borderId="2" xfId="0" applyNumberFormat="1" applyFont="1" applyFill="1" applyBorder="1" applyAlignment="1">
      <alignment horizontal="center" vertical="center"/>
    </xf>
    <xf numFmtId="0" fontId="38" fillId="16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7">
    <dxf>
      <font>
        <b/>
        <sz val="9"/>
        <color rgb="FF616161"/>
        <name val="Arial"/>
        <charset val="1"/>
      </font>
      <fill>
        <patternFill>
          <bgColor rgb="FFF5F5F5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616161"/>
        <name val="Arial"/>
        <charset val="1"/>
      </font>
      <fill>
        <patternFill>
          <bgColor rgb="FFF5F5F5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</dxfs>
  <tableStyles count="1" defaultTableStyle="TableStyleMedium2" defaultPivotStyle="PivotStyleLight16">
    <tableStyle name="Invisible" pivot="0" table="0" count="0" xr9:uid="{2DE2A10D-B377-4C49-843C-490F56DE5E38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AA"/>
      <rgbColor rgb="FF808000"/>
      <rgbColor rgb="FF800080"/>
      <rgbColor rgb="FF1A5276"/>
      <rgbColor rgb="FFCCCCCC"/>
      <rgbColor rgb="FF888888"/>
      <rgbColor rgb="FFEBF5FB"/>
      <rgbColor rgb="FF555555"/>
      <rgbColor rgb="FFFFF9C4"/>
      <rgbColor rgb="FFE3F2FD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D47A1"/>
      <rgbColor rgb="FF0000FF"/>
      <rgbColor rgb="FF00CCFF"/>
      <rgbColor rgb="FFE8F5E9"/>
      <rgbColor rgb="FFC8E6C9"/>
      <rgbColor rgb="FFF5F5F5"/>
      <rgbColor rgb="FFE8EAF6"/>
      <rgbColor rgb="FFFFCDD2"/>
      <rgbColor rgb="FFF0F4F8"/>
      <rgbColor rgb="FFFFD166"/>
      <rgbColor rgb="FF1976D2"/>
      <rgbColor rgb="FF33CCCC"/>
      <rgbColor rgb="FF99CC00"/>
      <rgbColor rgb="FFFFCC00"/>
      <rgbColor rgb="FFFF9900"/>
      <rgbColor rgb="FFE65100"/>
      <rgbColor rgb="FF616161"/>
      <rgbColor rgb="FF969696"/>
      <rgbColor rgb="FF0F3460"/>
      <rgbColor rgb="FF339966"/>
      <rgbColor rgb="FF16213E"/>
      <rgbColor rgb="FF1A1A2E"/>
      <rgbColor rgb="FFB71C1C"/>
      <rgbColor rgb="FF993366"/>
      <rgbColor rgb="FF28359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ialmodelingprep.com/stable/cash-flow-statement?symbol=TICKER&amp;period=quarter&amp;limit=4&amp;apikey=TU_KEY" TargetMode="External"/><Relationship Id="rId2" Type="http://schemas.openxmlformats.org/officeDocument/2006/relationships/hyperlink" Target="https://financialmodelingprep.com/stable/balance-sheet-statement?symbol=TICKER&amp;period=quarter&amp;limit=4&amp;apikey=TU_KEY" TargetMode="External"/><Relationship Id="rId1" Type="http://schemas.openxmlformats.org/officeDocument/2006/relationships/hyperlink" Target="https://financialmodelingprep.com/stable/income-statement?symbol=TICKER&amp;period=quarter&amp;limit=4&amp;apikey=TU_K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zoomScaleNormal="100" workbookViewId="0">
      <selection activeCell="A20" sqref="A20"/>
    </sheetView>
  </sheetViews>
  <sheetFormatPr defaultColWidth="8.6328125" defaultRowHeight="14.5" x14ac:dyDescent="0.35"/>
  <cols>
    <col min="1" max="1" width="38" customWidth="1"/>
    <col min="2" max="2" width="45" customWidth="1"/>
    <col min="3" max="3" width="30" customWidth="1"/>
  </cols>
  <sheetData>
    <row r="1" spans="1:3" ht="36" customHeight="1" x14ac:dyDescent="0.35">
      <c r="A1" s="12" t="s">
        <v>0</v>
      </c>
      <c r="B1" s="12"/>
      <c r="C1" s="12"/>
    </row>
    <row r="2" spans="1:3" ht="18" customHeight="1" x14ac:dyDescent="0.35">
      <c r="A2" s="11" t="s">
        <v>1</v>
      </c>
      <c r="B2" s="11"/>
      <c r="C2" s="11"/>
    </row>
    <row r="4" spans="1:3" ht="31.5" customHeight="1" x14ac:dyDescent="0.35">
      <c r="A4" s="8" t="s">
        <v>2</v>
      </c>
      <c r="B4" s="8"/>
      <c r="C4" s="8"/>
    </row>
    <row r="5" spans="1:3" ht="21.75" customHeight="1" x14ac:dyDescent="0.35">
      <c r="A5" s="13" t="s">
        <v>3</v>
      </c>
      <c r="B5" s="14"/>
      <c r="C5" s="15" t="s">
        <v>4</v>
      </c>
    </row>
    <row r="6" spans="1:3" ht="21.75" customHeight="1" x14ac:dyDescent="0.35">
      <c r="A6" s="13" t="s">
        <v>5</v>
      </c>
      <c r="B6" s="14" t="s">
        <v>6</v>
      </c>
      <c r="C6" s="15" t="s">
        <v>7</v>
      </c>
    </row>
    <row r="7" spans="1:3" ht="21.75" customHeight="1" x14ac:dyDescent="0.35">
      <c r="A7" s="13" t="s">
        <v>8</v>
      </c>
      <c r="B7" s="14" t="s">
        <v>9</v>
      </c>
      <c r="C7" s="15" t="s">
        <v>10</v>
      </c>
    </row>
    <row r="9" spans="1:3" ht="31.5" customHeight="1" x14ac:dyDescent="0.35">
      <c r="A9" s="10" t="s">
        <v>11</v>
      </c>
      <c r="B9" s="10"/>
      <c r="C9" s="10"/>
    </row>
    <row r="10" spans="1:3" ht="18" customHeight="1" x14ac:dyDescent="0.35">
      <c r="A10" s="7" t="s">
        <v>12</v>
      </c>
      <c r="B10" s="7"/>
      <c r="C10" s="7"/>
    </row>
    <row r="12" spans="1:3" ht="31.5" customHeight="1" x14ac:dyDescent="0.35">
      <c r="A12" s="8" t="s">
        <v>13</v>
      </c>
      <c r="B12" s="8"/>
      <c r="C12" s="8"/>
    </row>
    <row r="13" spans="1:3" ht="19.5" customHeight="1" x14ac:dyDescent="0.35">
      <c r="A13" s="6" t="s">
        <v>14</v>
      </c>
      <c r="B13" s="6"/>
      <c r="C13" s="6"/>
    </row>
    <row r="14" spans="1:3" ht="19.5" customHeight="1" x14ac:dyDescent="0.35">
      <c r="A14" s="5" t="s">
        <v>15</v>
      </c>
      <c r="B14" s="5"/>
      <c r="C14" s="5"/>
    </row>
    <row r="15" spans="1:3" ht="19.5" customHeight="1" x14ac:dyDescent="0.35">
      <c r="A15" s="6" t="s">
        <v>16</v>
      </c>
      <c r="B15" s="6"/>
      <c r="C15" s="6"/>
    </row>
    <row r="16" spans="1:3" ht="19.5" customHeight="1" x14ac:dyDescent="0.35">
      <c r="A16" s="5" t="s">
        <v>17</v>
      </c>
      <c r="B16" s="5"/>
      <c r="C16" s="5"/>
    </row>
    <row r="17" spans="1:3" ht="19.5" customHeight="1" x14ac:dyDescent="0.35">
      <c r="A17" s="6" t="s">
        <v>18</v>
      </c>
      <c r="B17" s="6"/>
      <c r="C17" s="6"/>
    </row>
    <row r="18" spans="1:3" ht="19.5" customHeight="1" x14ac:dyDescent="0.35">
      <c r="A18" s="5" t="s">
        <v>19</v>
      </c>
      <c r="B18" s="5"/>
      <c r="C18" s="5"/>
    </row>
    <row r="19" spans="1:3" ht="19.5" customHeight="1" x14ac:dyDescent="0.35">
      <c r="A19" s="6" t="s">
        <v>20</v>
      </c>
      <c r="B19" s="6"/>
      <c r="C19" s="6"/>
    </row>
  </sheetData>
  <mergeCells count="13">
    <mergeCell ref="A17:C17"/>
    <mergeCell ref="A18:C18"/>
    <mergeCell ref="A19:C19"/>
    <mergeCell ref="A12:C12"/>
    <mergeCell ref="A13:C13"/>
    <mergeCell ref="A14:C14"/>
    <mergeCell ref="A15:C15"/>
    <mergeCell ref="A16:C16"/>
    <mergeCell ref="A1:C1"/>
    <mergeCell ref="A2:C2"/>
    <mergeCell ref="A4:C4"/>
    <mergeCell ref="A9:C9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abSelected="1" zoomScaleNormal="100" workbookViewId="0">
      <selection activeCell="B6" sqref="B6:F6"/>
    </sheetView>
  </sheetViews>
  <sheetFormatPr defaultColWidth="8.6328125" defaultRowHeight="14.5" x14ac:dyDescent="0.35"/>
  <cols>
    <col min="1" max="1" width="35" customWidth="1"/>
    <col min="2" max="6" width="18" customWidth="1"/>
  </cols>
  <sheetData>
    <row r="1" spans="1:6" ht="36" customHeight="1" x14ac:dyDescent="0.35">
      <c r="A1" s="4" t="s">
        <v>21</v>
      </c>
      <c r="B1" s="4"/>
      <c r="C1" s="4"/>
      <c r="D1" s="4"/>
      <c r="E1" s="4"/>
      <c r="F1" s="4"/>
    </row>
    <row r="2" spans="1:6" ht="18" customHeight="1" x14ac:dyDescent="0.35">
      <c r="A2" s="3" t="s">
        <v>22</v>
      </c>
      <c r="B2" s="3"/>
      <c r="C2" s="3"/>
      <c r="D2" s="3"/>
      <c r="E2" s="3"/>
      <c r="F2" s="3"/>
    </row>
    <row r="4" spans="1:6" ht="18" customHeight="1" x14ac:dyDescent="0.35">
      <c r="A4" s="2" t="s">
        <v>23</v>
      </c>
      <c r="B4" s="2"/>
      <c r="C4" s="2"/>
      <c r="D4" s="2"/>
      <c r="E4" s="2"/>
      <c r="F4" s="2"/>
    </row>
    <row r="6" spans="1:6" ht="18" customHeight="1" x14ac:dyDescent="0.35">
      <c r="A6" s="13" t="s">
        <v>24</v>
      </c>
      <c r="B6" s="1" t="s">
        <v>25</v>
      </c>
      <c r="C6" s="1"/>
      <c r="D6" s="1"/>
      <c r="E6" s="1"/>
      <c r="F6" s="1"/>
    </row>
    <row r="7" spans="1:6" ht="18" customHeight="1" x14ac:dyDescent="0.35">
      <c r="A7" s="13" t="s">
        <v>26</v>
      </c>
      <c r="B7" s="1" t="s">
        <v>27</v>
      </c>
      <c r="C7" s="1"/>
      <c r="D7" s="1"/>
      <c r="E7" s="1"/>
      <c r="F7" s="1"/>
    </row>
    <row r="8" spans="1:6" ht="18" customHeight="1" x14ac:dyDescent="0.35">
      <c r="A8" s="13" t="s">
        <v>28</v>
      </c>
      <c r="B8" s="1" t="s">
        <v>29</v>
      </c>
      <c r="C8" s="1"/>
      <c r="D8" s="1"/>
      <c r="E8" s="1"/>
      <c r="F8" s="1"/>
    </row>
    <row r="9" spans="1:6" ht="18" customHeight="1" x14ac:dyDescent="0.35">
      <c r="A9" s="13" t="s">
        <v>30</v>
      </c>
      <c r="B9" s="1" t="s">
        <v>31</v>
      </c>
      <c r="C9" s="1"/>
      <c r="D9" s="1"/>
      <c r="E9" s="1"/>
      <c r="F9" s="1"/>
    </row>
    <row r="11" spans="1:6" ht="18" customHeight="1" x14ac:dyDescent="0.35">
      <c r="A11" s="7" t="s">
        <v>32</v>
      </c>
      <c r="B11" s="7"/>
      <c r="C11" s="7"/>
      <c r="D11" s="7"/>
      <c r="E11" s="7"/>
      <c r="F11" s="7"/>
    </row>
    <row r="13" spans="1:6" ht="27.75" customHeight="1" x14ac:dyDescent="0.35">
      <c r="A13" s="16" t="s">
        <v>33</v>
      </c>
      <c r="B13" s="16" t="s">
        <v>34</v>
      </c>
      <c r="C13" s="16" t="s">
        <v>35</v>
      </c>
      <c r="D13" s="16" t="s">
        <v>36</v>
      </c>
      <c r="E13" s="16" t="s">
        <v>37</v>
      </c>
      <c r="F13" s="16" t="s">
        <v>38</v>
      </c>
    </row>
    <row r="14" spans="1:6" ht="18" customHeight="1" x14ac:dyDescent="0.35">
      <c r="A14" s="17" t="s">
        <v>39</v>
      </c>
      <c r="B14" s="18"/>
      <c r="C14" s="18"/>
      <c r="D14" s="18"/>
      <c r="E14" s="18"/>
      <c r="F14" s="18"/>
    </row>
    <row r="15" spans="1:6" ht="18" customHeight="1" x14ac:dyDescent="0.35">
      <c r="A15" s="19" t="s">
        <v>40</v>
      </c>
      <c r="B15" s="20"/>
      <c r="C15" s="20"/>
      <c r="D15" s="20"/>
      <c r="E15" s="20"/>
      <c r="F15" s="20"/>
    </row>
    <row r="16" spans="1:6" ht="18" customHeight="1" x14ac:dyDescent="0.35">
      <c r="A16" s="17" t="s">
        <v>41</v>
      </c>
      <c r="B16" s="18"/>
      <c r="C16" s="18"/>
      <c r="D16" s="18"/>
      <c r="E16" s="18"/>
      <c r="F16" s="18"/>
    </row>
    <row r="17" spans="1:6" ht="18" customHeight="1" x14ac:dyDescent="0.35">
      <c r="A17" s="19" t="s">
        <v>42</v>
      </c>
      <c r="B17" s="20"/>
      <c r="C17" s="20"/>
      <c r="D17" s="20"/>
      <c r="E17" s="20"/>
      <c r="F17" s="20"/>
    </row>
    <row r="18" spans="1:6" ht="18" customHeight="1" x14ac:dyDescent="0.35">
      <c r="A18" s="17" t="s">
        <v>43</v>
      </c>
      <c r="B18" s="18"/>
      <c r="C18" s="18"/>
      <c r="D18" s="18"/>
      <c r="E18" s="18"/>
      <c r="F18" s="18"/>
    </row>
    <row r="19" spans="1:6" ht="18" customHeight="1" x14ac:dyDescent="0.35">
      <c r="A19" s="19" t="s">
        <v>44</v>
      </c>
      <c r="B19" s="20"/>
      <c r="C19" s="20"/>
      <c r="D19" s="20"/>
      <c r="E19" s="20"/>
      <c r="F19" s="20"/>
    </row>
    <row r="20" spans="1:6" ht="18" customHeight="1" x14ac:dyDescent="0.35">
      <c r="A20" s="17" t="s">
        <v>45</v>
      </c>
      <c r="B20" s="18"/>
      <c r="C20" s="18"/>
      <c r="D20" s="18"/>
      <c r="E20" s="18"/>
      <c r="F20" s="18"/>
    </row>
    <row r="21" spans="1:6" ht="18" customHeight="1" x14ac:dyDescent="0.35">
      <c r="A21" s="19" t="s">
        <v>46</v>
      </c>
      <c r="B21" s="20"/>
      <c r="C21" s="20"/>
      <c r="D21" s="20"/>
      <c r="E21" s="20"/>
      <c r="F21" s="20"/>
    </row>
    <row r="22" spans="1:6" ht="18" customHeight="1" x14ac:dyDescent="0.35">
      <c r="A22" s="17" t="s">
        <v>47</v>
      </c>
      <c r="B22" s="18"/>
      <c r="C22" s="18"/>
      <c r="D22" s="18"/>
      <c r="E22" s="18"/>
      <c r="F22" s="18"/>
    </row>
    <row r="23" spans="1:6" ht="18" customHeight="1" x14ac:dyDescent="0.35">
      <c r="A23" s="19" t="s">
        <v>48</v>
      </c>
      <c r="B23" s="20"/>
      <c r="C23" s="20"/>
      <c r="D23" s="20"/>
      <c r="E23" s="20"/>
      <c r="F23" s="20"/>
    </row>
    <row r="24" spans="1:6" ht="18" customHeight="1" x14ac:dyDescent="0.35">
      <c r="A24" s="17" t="s">
        <v>49</v>
      </c>
      <c r="B24" s="18"/>
      <c r="C24" s="18"/>
      <c r="D24" s="18"/>
      <c r="E24" s="18"/>
      <c r="F24" s="18"/>
    </row>
    <row r="25" spans="1:6" ht="18" customHeight="1" x14ac:dyDescent="0.35">
      <c r="A25" s="19" t="s">
        <v>50</v>
      </c>
      <c r="B25" s="20"/>
      <c r="C25" s="20"/>
      <c r="D25" s="20"/>
      <c r="E25" s="20"/>
      <c r="F25" s="20"/>
    </row>
    <row r="26" spans="1:6" ht="18" customHeight="1" x14ac:dyDescent="0.35">
      <c r="A26" s="17" t="s">
        <v>51</v>
      </c>
      <c r="B26" s="18"/>
      <c r="C26" s="18"/>
      <c r="D26" s="18"/>
      <c r="E26" s="18"/>
      <c r="F26" s="18"/>
    </row>
    <row r="27" spans="1:6" ht="18" customHeight="1" x14ac:dyDescent="0.35">
      <c r="A27" s="19" t="s">
        <v>52</v>
      </c>
      <c r="B27" s="20"/>
      <c r="C27" s="20"/>
      <c r="D27" s="20"/>
      <c r="E27" s="20"/>
      <c r="F27" s="20"/>
    </row>
    <row r="28" spans="1:6" ht="18" customHeight="1" x14ac:dyDescent="0.35">
      <c r="A28" s="17" t="s">
        <v>53</v>
      </c>
      <c r="B28" s="18"/>
      <c r="C28" s="18"/>
      <c r="D28" s="18"/>
      <c r="E28" s="18"/>
      <c r="F28" s="18"/>
    </row>
    <row r="29" spans="1:6" ht="18" customHeight="1" x14ac:dyDescent="0.35">
      <c r="A29" s="19" t="s">
        <v>54</v>
      </c>
      <c r="B29" s="20"/>
      <c r="C29" s="20"/>
      <c r="D29" s="20"/>
      <c r="E29" s="20"/>
      <c r="F29" s="20"/>
    </row>
    <row r="30" spans="1:6" ht="18" customHeight="1" x14ac:dyDescent="0.35">
      <c r="A30" s="17" t="s">
        <v>55</v>
      </c>
      <c r="B30" s="18"/>
      <c r="C30" s="18"/>
      <c r="D30" s="18"/>
      <c r="E30" s="18"/>
      <c r="F30" s="18"/>
    </row>
    <row r="31" spans="1:6" ht="18" customHeight="1" x14ac:dyDescent="0.35">
      <c r="A31" s="19" t="s">
        <v>56</v>
      </c>
      <c r="B31" s="20"/>
      <c r="C31" s="20"/>
      <c r="D31" s="20"/>
      <c r="E31" s="20"/>
      <c r="F31" s="20"/>
    </row>
    <row r="32" spans="1:6" ht="18" customHeight="1" x14ac:dyDescent="0.35">
      <c r="A32" s="17" t="s">
        <v>57</v>
      </c>
      <c r="B32" s="18"/>
      <c r="C32" s="18"/>
      <c r="D32" s="18"/>
      <c r="E32" s="18"/>
      <c r="F32" s="18"/>
    </row>
    <row r="33" spans="1:6" ht="18" customHeight="1" x14ac:dyDescent="0.35">
      <c r="A33" s="19" t="s">
        <v>58</v>
      </c>
      <c r="B33" s="20"/>
      <c r="C33" s="20"/>
      <c r="D33" s="20"/>
      <c r="E33" s="20"/>
      <c r="F33" s="20"/>
    </row>
    <row r="34" spans="1:6" ht="18" customHeight="1" x14ac:dyDescent="0.35">
      <c r="A34" s="17" t="s">
        <v>59</v>
      </c>
      <c r="B34" s="18"/>
      <c r="C34" s="18"/>
      <c r="D34" s="18"/>
      <c r="E34" s="18"/>
      <c r="F34" s="18"/>
    </row>
    <row r="35" spans="1:6" ht="18" customHeight="1" x14ac:dyDescent="0.35">
      <c r="A35" s="19" t="s">
        <v>60</v>
      </c>
      <c r="B35" s="20"/>
      <c r="C35" s="20"/>
      <c r="D35" s="20"/>
      <c r="E35" s="20"/>
      <c r="F35" s="20"/>
    </row>
    <row r="36" spans="1:6" ht="18" customHeight="1" x14ac:dyDescent="0.35">
      <c r="A36" s="17" t="s">
        <v>61</v>
      </c>
      <c r="B36" s="18"/>
      <c r="C36" s="18"/>
      <c r="D36" s="18"/>
      <c r="E36" s="18"/>
      <c r="F36" s="18"/>
    </row>
    <row r="37" spans="1:6" ht="18" customHeight="1" x14ac:dyDescent="0.35">
      <c r="A37" s="19" t="s">
        <v>62</v>
      </c>
      <c r="B37" s="20"/>
      <c r="C37" s="20"/>
      <c r="D37" s="20"/>
      <c r="E37" s="20"/>
      <c r="F37" s="20"/>
    </row>
  </sheetData>
  <mergeCells count="8">
    <mergeCell ref="B8:F8"/>
    <mergeCell ref="B9:F9"/>
    <mergeCell ref="A11:F11"/>
    <mergeCell ref="A1:F1"/>
    <mergeCell ref="A2:F2"/>
    <mergeCell ref="A4:F4"/>
    <mergeCell ref="B6:F6"/>
    <mergeCell ref="B7:F7"/>
  </mergeCells>
  <hyperlinks>
    <hyperlink ref="B6" r:id="rId1" xr:uid="{00000000-0004-0000-0100-000000000000}"/>
    <hyperlink ref="B7" r:id="rId2" xr:uid="{00000000-0004-0000-0100-000001000000}"/>
    <hyperlink ref="B8" r:id="rId3" xr:uid="{00000000-0004-0000-0100-000002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zoomScale="99" zoomScaleNormal="99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6" sqref="B6"/>
    </sheetView>
  </sheetViews>
  <sheetFormatPr defaultColWidth="8.6328125" defaultRowHeight="14.5" x14ac:dyDescent="0.35"/>
  <cols>
    <col min="1" max="1" width="42" customWidth="1"/>
    <col min="2" max="2" width="16.81640625" customWidth="1"/>
    <col min="3" max="5" width="16" customWidth="1"/>
  </cols>
  <sheetData>
    <row r="1" spans="1:5" ht="36" customHeight="1" x14ac:dyDescent="0.35">
      <c r="A1" s="12" t="s">
        <v>63</v>
      </c>
      <c r="B1" s="12"/>
      <c r="C1" s="12"/>
      <c r="D1" s="12"/>
      <c r="E1" s="12"/>
    </row>
    <row r="2" spans="1:5" ht="27" customHeight="1" x14ac:dyDescent="0.35">
      <c r="A2" s="11" t="s">
        <v>64</v>
      </c>
      <c r="B2" s="11"/>
      <c r="C2" s="11"/>
      <c r="D2" s="11"/>
      <c r="E2" s="11"/>
    </row>
    <row r="3" spans="1:5" ht="27.75" customHeight="1" x14ac:dyDescent="0.35">
      <c r="A3" s="16" t="s">
        <v>65</v>
      </c>
      <c r="B3" s="16" t="s">
        <v>34</v>
      </c>
      <c r="C3" s="16" t="s">
        <v>35</v>
      </c>
      <c r="D3" s="16" t="s">
        <v>36</v>
      </c>
      <c r="E3" s="16" t="s">
        <v>66</v>
      </c>
    </row>
    <row r="4" spans="1:5" ht="21.75" customHeight="1" x14ac:dyDescent="0.35">
      <c r="A4" s="21" t="s">
        <v>67</v>
      </c>
      <c r="B4" s="22"/>
      <c r="C4" s="22"/>
      <c r="D4" s="22"/>
      <c r="E4" s="22"/>
    </row>
    <row r="5" spans="1:5" ht="30.75" customHeight="1" x14ac:dyDescent="0.35">
      <c r="A5" s="90" t="s">
        <v>68</v>
      </c>
      <c r="B5" s="90"/>
      <c r="C5" s="90"/>
      <c r="D5" s="90"/>
      <c r="E5" s="90"/>
    </row>
    <row r="6" spans="1:5" ht="30" customHeight="1" x14ac:dyDescent="0.35">
      <c r="A6" s="23" t="s">
        <v>69</v>
      </c>
      <c r="B6" s="24"/>
      <c r="C6" s="25"/>
      <c r="D6" s="25"/>
      <c r="E6" s="25"/>
    </row>
    <row r="7" spans="1:5" ht="30" customHeight="1" x14ac:dyDescent="0.35">
      <c r="A7" s="26" t="s">
        <v>70</v>
      </c>
      <c r="B7" s="24"/>
      <c r="C7" s="25"/>
      <c r="D7" s="25"/>
      <c r="E7" s="25"/>
    </row>
    <row r="8" spans="1:5" ht="30" customHeight="1" x14ac:dyDescent="0.35">
      <c r="A8" s="23" t="s">
        <v>71</v>
      </c>
      <c r="B8" s="24"/>
      <c r="C8" s="25"/>
      <c r="D8" s="25"/>
      <c r="E8" s="25"/>
    </row>
    <row r="9" spans="1:5" ht="30" customHeight="1" x14ac:dyDescent="0.35">
      <c r="A9" s="26" t="s">
        <v>72</v>
      </c>
      <c r="B9" s="27"/>
      <c r="C9" s="27"/>
      <c r="D9" s="27"/>
      <c r="E9" s="27"/>
    </row>
    <row r="10" spans="1:5" ht="31.5" customHeight="1" x14ac:dyDescent="0.35">
      <c r="A10" s="28" t="s">
        <v>73</v>
      </c>
      <c r="B10" s="29"/>
      <c r="C10" s="29"/>
      <c r="D10" s="29"/>
      <c r="E10" s="29"/>
    </row>
    <row r="11" spans="1:5" ht="30" customHeight="1" x14ac:dyDescent="0.35">
      <c r="A11" s="91" t="s">
        <v>74</v>
      </c>
      <c r="B11" s="91"/>
      <c r="C11" s="91"/>
      <c r="D11" s="91"/>
      <c r="E11" s="91"/>
    </row>
    <row r="12" spans="1:5" ht="30" customHeight="1" x14ac:dyDescent="0.35">
      <c r="A12" s="23" t="s">
        <v>75</v>
      </c>
      <c r="B12" s="30"/>
      <c r="C12" s="30"/>
      <c r="D12" s="30"/>
      <c r="E12" s="30"/>
    </row>
    <row r="13" spans="1:5" ht="30" customHeight="1" x14ac:dyDescent="0.35">
      <c r="A13" s="26" t="s">
        <v>76</v>
      </c>
      <c r="B13" s="30"/>
      <c r="C13" s="30"/>
      <c r="D13" s="30"/>
      <c r="E13" s="30"/>
    </row>
    <row r="14" spans="1:5" ht="30" customHeight="1" x14ac:dyDescent="0.35">
      <c r="A14" s="23" t="s">
        <v>77</v>
      </c>
      <c r="B14" s="30"/>
      <c r="C14" s="30"/>
      <c r="D14" s="30"/>
      <c r="E14" s="30"/>
    </row>
    <row r="15" spans="1:5" ht="30" customHeight="1" x14ac:dyDescent="0.35">
      <c r="A15" s="26" t="s">
        <v>78</v>
      </c>
      <c r="B15" s="30"/>
      <c r="C15" s="30"/>
      <c r="D15" s="30"/>
      <c r="E15" s="30"/>
    </row>
    <row r="16" spans="1:5" ht="30" customHeight="1" x14ac:dyDescent="0.35">
      <c r="A16" s="23" t="s">
        <v>79</v>
      </c>
      <c r="B16" s="30"/>
      <c r="C16" s="30"/>
      <c r="D16" s="30"/>
      <c r="E16" s="30"/>
    </row>
    <row r="17" spans="1:5" ht="30" customHeight="1" x14ac:dyDescent="0.35">
      <c r="A17" s="26" t="s">
        <v>80</v>
      </c>
      <c r="B17" s="30"/>
      <c r="C17" s="30"/>
      <c r="D17" s="30"/>
      <c r="E17" s="30"/>
    </row>
    <row r="18" spans="1:5" ht="30" customHeight="1" x14ac:dyDescent="0.35">
      <c r="A18" s="23" t="s">
        <v>81</v>
      </c>
      <c r="B18" s="30"/>
      <c r="C18" s="30"/>
      <c r="D18" s="30"/>
      <c r="E18" s="30"/>
    </row>
    <row r="19" spans="1:5" ht="30" customHeight="1" x14ac:dyDescent="0.35">
      <c r="A19" s="26" t="s">
        <v>82</v>
      </c>
      <c r="B19" s="30"/>
      <c r="C19" s="30"/>
      <c r="D19" s="30"/>
      <c r="E19" s="30"/>
    </row>
    <row r="20" spans="1:5" ht="30" customHeight="1" x14ac:dyDescent="0.35">
      <c r="A20" s="23" t="s">
        <v>83</v>
      </c>
      <c r="B20" s="30"/>
      <c r="C20" s="30"/>
      <c r="D20" s="30"/>
      <c r="E20" s="30"/>
    </row>
    <row r="21" spans="1:5" ht="30" customHeight="1" x14ac:dyDescent="0.35">
      <c r="A21" s="26" t="s">
        <v>84</v>
      </c>
      <c r="B21" s="30"/>
      <c r="C21" s="30"/>
      <c r="D21" s="30"/>
      <c r="E21" s="30"/>
    </row>
    <row r="22" spans="1:5" ht="30" customHeight="1" x14ac:dyDescent="0.35">
      <c r="A22" s="23" t="s">
        <v>85</v>
      </c>
      <c r="B22" s="31"/>
      <c r="C22" s="31"/>
      <c r="D22" s="31"/>
      <c r="E22" s="31"/>
    </row>
    <row r="23" spans="1:5" ht="31.5" customHeight="1" x14ac:dyDescent="0.35">
      <c r="A23" s="32" t="s">
        <v>86</v>
      </c>
      <c r="B23" s="30">
        <v>0.91</v>
      </c>
      <c r="C23" s="30">
        <v>0.91</v>
      </c>
      <c r="D23" s="30">
        <v>0.91</v>
      </c>
      <c r="E23" s="30">
        <v>0.91</v>
      </c>
    </row>
    <row r="24" spans="1:5" ht="30" customHeight="1" x14ac:dyDescent="0.35">
      <c r="A24" s="91" t="s">
        <v>87</v>
      </c>
      <c r="B24" s="91"/>
      <c r="C24" s="91"/>
      <c r="D24" s="91"/>
      <c r="E24" s="91"/>
    </row>
    <row r="25" spans="1:5" ht="30" customHeight="1" x14ac:dyDescent="0.35">
      <c r="A25" s="26" t="s">
        <v>88</v>
      </c>
      <c r="B25" s="30"/>
      <c r="C25" s="30"/>
      <c r="D25" s="30"/>
      <c r="E25" s="30"/>
    </row>
    <row r="26" spans="1:5" ht="30" customHeight="1" x14ac:dyDescent="0.35">
      <c r="A26" s="23" t="s">
        <v>89</v>
      </c>
      <c r="B26" s="30"/>
      <c r="C26" s="30"/>
      <c r="D26" s="30"/>
      <c r="E26" s="30"/>
    </row>
    <row r="27" spans="1:5" ht="30" customHeight="1" x14ac:dyDescent="0.35">
      <c r="A27" s="26" t="s">
        <v>90</v>
      </c>
      <c r="B27" s="30"/>
      <c r="C27" s="30"/>
      <c r="D27" s="30"/>
      <c r="E27" s="30"/>
    </row>
    <row r="28" spans="1:5" ht="30" customHeight="1" x14ac:dyDescent="0.35">
      <c r="A28" s="23" t="s">
        <v>91</v>
      </c>
      <c r="B28" s="30"/>
      <c r="C28" s="30"/>
      <c r="D28" s="30"/>
      <c r="E28" s="30"/>
    </row>
    <row r="29" spans="1:5" ht="30" customHeight="1" x14ac:dyDescent="0.35">
      <c r="A29" s="26" t="s">
        <v>92</v>
      </c>
      <c r="B29" s="30"/>
      <c r="C29" s="30"/>
      <c r="D29" s="30"/>
      <c r="E29" s="30"/>
    </row>
    <row r="30" spans="1:5" ht="30" customHeight="1" x14ac:dyDescent="0.35">
      <c r="A30" s="23" t="s">
        <v>93</v>
      </c>
      <c r="B30" s="30"/>
      <c r="C30" s="30"/>
      <c r="D30" s="30"/>
      <c r="E30" s="30"/>
    </row>
    <row r="31" spans="1:5" ht="30" customHeight="1" x14ac:dyDescent="0.35">
      <c r="A31" s="26" t="s">
        <v>94</v>
      </c>
      <c r="B31" s="30"/>
      <c r="C31" s="30"/>
      <c r="D31" s="30"/>
      <c r="E31" s="30"/>
    </row>
    <row r="32" spans="1:5" ht="31.5" customHeight="1" x14ac:dyDescent="0.35">
      <c r="A32" s="28" t="s">
        <v>95</v>
      </c>
      <c r="B32" s="30" t="str">
        <f>IFERROR(B31/B10,"N/D")</f>
        <v>N/D</v>
      </c>
      <c r="C32" s="30" t="str">
        <f>IFERROR(C31/C10,"N/D")</f>
        <v>N/D</v>
      </c>
      <c r="D32" s="30" t="str">
        <f>IFERROR(D31/D10,"N/D")</f>
        <v>N/D</v>
      </c>
      <c r="E32" s="30" t="str">
        <f>IFERROR(E31/E10,"N/D")</f>
        <v>N/D</v>
      </c>
    </row>
    <row r="33" spans="1:5" ht="30" customHeight="1" x14ac:dyDescent="0.35">
      <c r="A33" s="91" t="s">
        <v>96</v>
      </c>
      <c r="B33" s="91"/>
      <c r="C33" s="91"/>
      <c r="D33" s="91"/>
      <c r="E33" s="91"/>
    </row>
    <row r="34" spans="1:5" ht="30" customHeight="1" x14ac:dyDescent="0.35">
      <c r="A34" s="23" t="s">
        <v>97</v>
      </c>
      <c r="B34" s="30"/>
      <c r="C34" s="30"/>
      <c r="D34" s="30"/>
      <c r="E34" s="30"/>
    </row>
    <row r="35" spans="1:5" ht="30" customHeight="1" x14ac:dyDescent="0.35">
      <c r="A35" s="26" t="s">
        <v>98</v>
      </c>
      <c r="B35" s="30"/>
      <c r="C35" s="30"/>
      <c r="D35" s="30"/>
      <c r="E35" s="30"/>
    </row>
    <row r="36" spans="1:5" ht="30" customHeight="1" x14ac:dyDescent="0.35">
      <c r="A36" s="23" t="s">
        <v>99</v>
      </c>
      <c r="B36" s="30"/>
      <c r="C36" s="30"/>
      <c r="D36" s="30"/>
      <c r="E36" s="30"/>
    </row>
    <row r="37" spans="1:5" ht="30" customHeight="1" x14ac:dyDescent="0.35">
      <c r="A37" s="26" t="s">
        <v>100</v>
      </c>
      <c r="B37" s="30"/>
      <c r="C37" s="30"/>
      <c r="D37" s="30"/>
      <c r="E37" s="30"/>
    </row>
    <row r="38" spans="1:5" ht="22.5" customHeight="1" x14ac:dyDescent="0.35">
      <c r="A38" s="23" t="s">
        <v>101</v>
      </c>
      <c r="B38" s="30"/>
      <c r="C38" s="30"/>
      <c r="D38" s="30"/>
      <c r="E38" s="30"/>
    </row>
    <row r="39" spans="1:5" ht="18" customHeight="1" x14ac:dyDescent="0.35">
      <c r="A39" s="92"/>
      <c r="B39" s="92"/>
      <c r="C39" s="92"/>
      <c r="D39" s="92"/>
      <c r="E39" s="92"/>
    </row>
    <row r="40" spans="1:5" ht="24.75" customHeight="1" x14ac:dyDescent="0.35">
      <c r="A40" s="2" t="s">
        <v>102</v>
      </c>
      <c r="B40" s="2"/>
      <c r="C40" s="2"/>
      <c r="D40" s="2"/>
      <c r="E40" s="2"/>
    </row>
    <row r="41" spans="1:5" ht="30" customHeight="1" x14ac:dyDescent="0.35">
      <c r="A41" s="93" t="s">
        <v>103</v>
      </c>
      <c r="B41" s="93"/>
      <c r="C41" s="93"/>
      <c r="D41" s="93"/>
      <c r="E41" s="93"/>
    </row>
  </sheetData>
  <mergeCells count="9">
    <mergeCell ref="A33:E33"/>
    <mergeCell ref="A39:E39"/>
    <mergeCell ref="A40:E40"/>
    <mergeCell ref="A41:E41"/>
    <mergeCell ref="A1:E1"/>
    <mergeCell ref="A2:E2"/>
    <mergeCell ref="A5:E5"/>
    <mergeCell ref="A11:E11"/>
    <mergeCell ref="A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zoomScale="96" zoomScaleNormal="96" zoomScalePageLayoutView="70" workbookViewId="0">
      <pane xSplit="1" ySplit="4" topLeftCell="B8" activePane="bottomRight" state="frozen"/>
      <selection activeCell="E4" sqref="E4"/>
      <selection pane="topRight" activeCell="E4" sqref="E4"/>
      <selection pane="bottomLeft" activeCell="E4" sqref="E4"/>
      <selection pane="bottomRight" activeCell="G17" sqref="G17"/>
    </sheetView>
  </sheetViews>
  <sheetFormatPr defaultColWidth="8.6328125" defaultRowHeight="14.5" x14ac:dyDescent="0.35"/>
  <cols>
    <col min="1" max="1" width="35" customWidth="1"/>
    <col min="2" max="4" width="14" customWidth="1"/>
    <col min="5" max="5" width="15.453125" customWidth="1"/>
    <col min="6" max="6" width="30" customWidth="1"/>
    <col min="7" max="7" width="22" customWidth="1"/>
  </cols>
  <sheetData>
    <row r="1" spans="1:7" ht="36" customHeight="1" x14ac:dyDescent="0.35">
      <c r="A1" s="12" t="s">
        <v>104</v>
      </c>
      <c r="B1" s="12"/>
      <c r="C1" s="12"/>
      <c r="D1" s="12"/>
      <c r="E1" s="12"/>
      <c r="F1" s="12"/>
      <c r="G1" s="12"/>
    </row>
    <row r="2" spans="1:7" ht="18" customHeight="1" x14ac:dyDescent="0.35">
      <c r="A2" s="11" t="s">
        <v>105</v>
      </c>
      <c r="B2" s="11"/>
      <c r="C2" s="11"/>
      <c r="D2" s="11"/>
      <c r="E2" s="11"/>
      <c r="F2" s="11"/>
      <c r="G2" s="11"/>
    </row>
    <row r="3" spans="1:7" ht="18" customHeight="1" x14ac:dyDescent="0.35">
      <c r="A3" s="7" t="s">
        <v>106</v>
      </c>
      <c r="B3" s="7"/>
      <c r="C3" s="7"/>
      <c r="D3" s="7"/>
      <c r="E3" s="7"/>
      <c r="F3" s="7"/>
      <c r="G3" s="7"/>
    </row>
    <row r="4" spans="1:7" ht="27.75" customHeight="1" x14ac:dyDescent="0.35">
      <c r="A4" s="16" t="s">
        <v>107</v>
      </c>
      <c r="B4" s="16" t="s">
        <v>108</v>
      </c>
      <c r="C4" s="16" t="s">
        <v>35</v>
      </c>
      <c r="D4" s="16" t="s">
        <v>36</v>
      </c>
      <c r="E4" s="16" t="s">
        <v>66</v>
      </c>
      <c r="F4" s="16" t="s">
        <v>109</v>
      </c>
      <c r="G4" s="16" t="s">
        <v>110</v>
      </c>
    </row>
    <row r="5" spans="1:7" ht="21.75" customHeight="1" x14ac:dyDescent="0.35">
      <c r="A5" s="33" t="s">
        <v>111</v>
      </c>
      <c r="B5" s="34" t="s">
        <v>112</v>
      </c>
      <c r="C5" s="34"/>
      <c r="D5" s="34"/>
      <c r="E5" s="34"/>
      <c r="F5" s="33"/>
      <c r="G5" s="33"/>
    </row>
    <row r="6" spans="1:7" ht="31.5" customHeight="1" x14ac:dyDescent="0.35">
      <c r="A6" s="90" t="s">
        <v>113</v>
      </c>
      <c r="B6" s="90"/>
      <c r="C6" s="90"/>
      <c r="D6" s="90"/>
      <c r="E6" s="90"/>
      <c r="F6" s="90"/>
      <c r="G6" s="90"/>
    </row>
    <row r="7" spans="1:7" ht="31.5" customHeight="1" x14ac:dyDescent="0.35">
      <c r="A7" s="26" t="s">
        <v>114</v>
      </c>
      <c r="B7" s="35" t="str">
        <f>IFERROR(Input_Data!B9/Input_Data!B22,"N/D")</f>
        <v>N/D</v>
      </c>
      <c r="C7" s="35" t="str">
        <f>IFERROR(Input_Data!C9/Input_Data!C22,"N/D")</f>
        <v>N/D</v>
      </c>
      <c r="D7" s="35" t="str">
        <f>IFERROR(Input_Data!D9/Input_Data!D22,"N/D")</f>
        <v>N/D</v>
      </c>
      <c r="E7" s="35" t="str">
        <f>IFERROR(Input_Data!E9/Input_Data!E22,"N/D")</f>
        <v>N/D</v>
      </c>
      <c r="F7" s="36" t="s">
        <v>115</v>
      </c>
      <c r="G7" s="37" t="str">
        <f>IFERROR(IF(Input_Data!B9=0,"⚪ N/A",IF(Input_Data!B9/Input_Data!B22&lt;15,"🟢 GOOD",IF(Input_Data!B9/Input_Data!B22&lt;25,"🟡 REVIEW","🔴 ALERT"))),"⚪ N/A")</f>
        <v>⚪ N/A</v>
      </c>
    </row>
    <row r="8" spans="1:7" ht="31.5" customHeight="1" x14ac:dyDescent="0.35">
      <c r="A8" s="26" t="s">
        <v>116</v>
      </c>
      <c r="B8" s="38" t="str">
        <f>IFERROR(Input_Data!B9/Input_Data!B32,"N/D")</f>
        <v>N/D</v>
      </c>
      <c r="C8" s="38" t="str">
        <f>IFERROR(Input_Data!C9/Input_Data!C32,"N/D")</f>
        <v>N/D</v>
      </c>
      <c r="D8" s="38" t="str">
        <f>IFERROR(Input_Data!D9/Input_Data!D32,"N/D")</f>
        <v>N/D</v>
      </c>
      <c r="E8" s="38" t="str">
        <f>IFERROR(Input_Data!E9/Input_Data!E32,"N/D")</f>
        <v>N/D</v>
      </c>
      <c r="F8" s="36" t="s">
        <v>117</v>
      </c>
      <c r="G8" s="37" t="str">
        <f>IFERROR(IF(Input_Data!B9=0,"⚪ N/A",IF(Input_Data!B9/Input_Data!B32&lt;1.5,"🟢 GOOD",IF(Input_Data!B9/Input_Data!B32&lt;3,"🟡 REVIEW","🔴 ALERT"))),"⚪ N/A")</f>
        <v>⚪ N/A</v>
      </c>
    </row>
    <row r="9" spans="1:7" ht="31.5" customHeight="1" x14ac:dyDescent="0.35">
      <c r="A9" s="91" t="s">
        <v>118</v>
      </c>
      <c r="B9" s="91"/>
      <c r="C9" s="91"/>
      <c r="D9" s="91"/>
      <c r="E9" s="91"/>
      <c r="F9" s="91"/>
      <c r="G9" s="91"/>
    </row>
    <row r="10" spans="1:7" ht="31.5" customHeight="1" x14ac:dyDescent="0.35">
      <c r="A10" s="23" t="s">
        <v>119</v>
      </c>
      <c r="B10" s="39" t="str">
        <f>IFERROR(Input_Data!B14/Input_Data!B12,"N/D")</f>
        <v>N/D</v>
      </c>
      <c r="C10" s="39" t="str">
        <f>IFERROR(Input_Data!C14/Input_Data!C12,"N/D")</f>
        <v>N/D</v>
      </c>
      <c r="D10" s="39" t="str">
        <f>IFERROR(Input_Data!D14/Input_Data!D12,"N/D")</f>
        <v>N/D</v>
      </c>
      <c r="E10" s="39" t="str">
        <f>IFERROR(Input_Data!E14/Input_Data!E12,"N/D")</f>
        <v>N/D</v>
      </c>
      <c r="F10" s="40" t="s">
        <v>120</v>
      </c>
      <c r="G10" s="37" t="str">
        <f>IFERROR(IF(Input_Data!B14/Input_Data!B12&gt;0.4,"🟢 GOOD",IF(Input_Data!B14/Input_Data!B12&gt;0.2,"🟡 REVIEW","🔴 ALERT")),"⚪ N/A")</f>
        <v>⚪ N/A</v>
      </c>
    </row>
    <row r="11" spans="1:7" ht="31.5" customHeight="1" x14ac:dyDescent="0.35">
      <c r="A11" s="26" t="s">
        <v>121</v>
      </c>
      <c r="B11" s="41" t="str">
        <f>IFERROR(Input_Data!B17/Input_Data!B12,"N/D")</f>
        <v>N/D</v>
      </c>
      <c r="C11" s="41" t="str">
        <f>IFERROR(Input_Data!C17/Input_Data!C12,"N/D")</f>
        <v>N/D</v>
      </c>
      <c r="D11" s="41" t="str">
        <f>IFERROR(Input_Data!D17/Input_Data!D12,"N/D")</f>
        <v>N/D</v>
      </c>
      <c r="E11" s="41" t="str">
        <f>IFERROR(Input_Data!E17/Input_Data!E12,"N/D")</f>
        <v>N/D</v>
      </c>
      <c r="F11" s="36" t="s">
        <v>122</v>
      </c>
      <c r="G11" s="37" t="str">
        <f>IFERROR(IF(Input_Data!B17/Input_Data!B12&gt;0.15,"🟢 GOOD",IF(Input_Data!B17/Input_Data!B12&gt;0.08,"🟡 REVIEW","🔴 ALERT")),"⚪ N/A")</f>
        <v>⚪ N/A</v>
      </c>
    </row>
    <row r="12" spans="1:7" ht="31.5" customHeight="1" x14ac:dyDescent="0.35">
      <c r="A12" s="23" t="s">
        <v>123</v>
      </c>
      <c r="B12" s="39" t="str">
        <f>IFERROR(Input_Data!B21/Input_Data!B12,"N/D")</f>
        <v>N/D</v>
      </c>
      <c r="C12" s="39" t="str">
        <f>IFERROR(Input_Data!C21/Input_Data!C12,"N/D")</f>
        <v>N/D</v>
      </c>
      <c r="D12" s="39" t="str">
        <f>IFERROR(Input_Data!D21/Input_Data!D12,"N/D")</f>
        <v>N/D</v>
      </c>
      <c r="E12" s="39" t="str">
        <f>IFERROR(Input_Data!E21/Input_Data!E12,"N/D")</f>
        <v>N/D</v>
      </c>
      <c r="F12" s="40" t="s">
        <v>124</v>
      </c>
      <c r="G12" s="37" t="str">
        <f>IFERROR(IF(Input_Data!B21/Input_Data!B12&gt;0.1,"🟢 GOOD",IF(Input_Data!B21/Input_Data!B12&gt;0.05,"🟡 REVIEW","🔴 ALERT")),"⚪ N/A")</f>
        <v>⚪ N/A</v>
      </c>
    </row>
    <row r="13" spans="1:7" ht="31.5" customHeight="1" x14ac:dyDescent="0.35">
      <c r="A13" s="26" t="s">
        <v>125</v>
      </c>
      <c r="B13" s="41" t="str">
        <f>IFERROR(Input_Data!B21/Input_Data!B31,"N/D")</f>
        <v>N/D</v>
      </c>
      <c r="C13" s="41" t="str">
        <f>IFERROR(Input_Data!C21/Input_Data!C31,"N/D")</f>
        <v>N/D</v>
      </c>
      <c r="D13" s="41" t="str">
        <f>IFERROR(Input_Data!D21/Input_Data!D31,"N/D")</f>
        <v>N/D</v>
      </c>
      <c r="E13" s="41" t="str">
        <f>IFERROR(Input_Data!E21/Input_Data!E31,"N/D")</f>
        <v>N/D</v>
      </c>
      <c r="F13" s="36" t="s">
        <v>126</v>
      </c>
      <c r="G13" s="37" t="str">
        <f>IFERROR(IF(Input_Data!B21/Input_Data!B31&gt;0.15,"🟢 GOOD",IF(Input_Data!B21/Input_Data!B31&gt;0.1,"🟡 REVIEW","🔴 ALERT")),"⚪ N/A")</f>
        <v>⚪ N/A</v>
      </c>
    </row>
    <row r="14" spans="1:7" ht="31.5" customHeight="1" x14ac:dyDescent="0.35">
      <c r="A14" s="91" t="s">
        <v>127</v>
      </c>
      <c r="B14" s="91"/>
      <c r="C14" s="91"/>
      <c r="D14" s="91"/>
      <c r="E14" s="91"/>
      <c r="F14" s="91"/>
      <c r="G14" s="91"/>
    </row>
    <row r="15" spans="1:7" ht="31.5" customHeight="1" x14ac:dyDescent="0.35">
      <c r="A15" s="26" t="s">
        <v>128</v>
      </c>
      <c r="B15" s="35" t="str">
        <f>IFERROR(Input_Data!B26/Input_Data!B28,"N/D")</f>
        <v>N/D</v>
      </c>
      <c r="C15" s="35" t="str">
        <f>IFERROR(Input_Data!C26/Input_Data!C28,"N/D")</f>
        <v>N/D</v>
      </c>
      <c r="D15" s="35" t="str">
        <f>IFERROR(Input_Data!D26/Input_Data!D28,"N/D")</f>
        <v>N/D</v>
      </c>
      <c r="E15" s="35" t="str">
        <f>IFERROR(Input_Data!E26/Input_Data!E28,"N/D")</f>
        <v>N/D</v>
      </c>
      <c r="F15" s="36" t="s">
        <v>129</v>
      </c>
      <c r="G15" s="37" t="str">
        <f>IFERROR(IF(Input_Data!B26/Input_Data!B28&gt;2,"🟢 GOOD",IF(Input_Data!B26/Input_Data!B28&gt;=1,"🟡 REVIEW","🔴 ALERT")),"⚪ N/A")</f>
        <v>⚪ N/A</v>
      </c>
    </row>
    <row r="16" spans="1:7" ht="31.5" customHeight="1" x14ac:dyDescent="0.35">
      <c r="A16" s="23" t="s">
        <v>130</v>
      </c>
      <c r="B16" s="38" t="str">
        <f>IFERROR(Input_Data!B29/Input_Data!B31,"N/D")</f>
        <v>N/D</v>
      </c>
      <c r="C16" s="38" t="str">
        <f>IFERROR(Input_Data!C29/Input_Data!C31,"N/D")</f>
        <v>N/D</v>
      </c>
      <c r="D16" s="38" t="str">
        <f>IFERROR(Input_Data!D29/Input_Data!D31,"N/D")</f>
        <v>N/D</v>
      </c>
      <c r="E16" s="38" t="str">
        <f>IFERROR(Input_Data!E29/Input_Data!E31,"N/D")</f>
        <v>N/D</v>
      </c>
      <c r="F16" s="40" t="s">
        <v>131</v>
      </c>
      <c r="G16" s="37" t="str">
        <f>IFERROR(IF(Input_Data!B29/Input_Data!B31&lt;0.5,"🟢 GOOD",IF(Input_Data!B29/Input_Data!B31&lt;1.5,"🟡 REVIEW","🔴 ALERT")),"⚪ N/A")</f>
        <v>⚪ N/A</v>
      </c>
    </row>
    <row r="17" spans="1:7" ht="31.5" customHeight="1" x14ac:dyDescent="0.35">
      <c r="A17" s="26" t="s">
        <v>132</v>
      </c>
      <c r="B17" s="35" t="str">
        <f>IFERROR(Input_Data!B29/Input_Data!B16,"N/D")</f>
        <v>N/D</v>
      </c>
      <c r="C17" s="35" t="str">
        <f>IFERROR(Input_Data!C29/Input_Data!C16,"N/D")</f>
        <v>N/D</v>
      </c>
      <c r="D17" s="35" t="str">
        <f>IFERROR(Input_Data!D29/Input_Data!D16,"N/D")</f>
        <v>N/D</v>
      </c>
      <c r="E17" s="35" t="str">
        <f>IFERROR(Input_Data!E29/Input_Data!E16,"N/D")</f>
        <v>N/D</v>
      </c>
      <c r="F17" s="36" t="s">
        <v>133</v>
      </c>
      <c r="G17" s="37" t="str">
        <f>IFERROR(IF(Input_Data!B29/Input_Data!B16&lt;2,"🟢 GOOD",IF(Input_Data!B29/Input_Data!B16&lt;4,"🟡 REVIEW","🔴 ALERT")),"⚪ N/A")</f>
        <v>⚪ N/A</v>
      </c>
    </row>
    <row r="18" spans="1:7" ht="31.5" customHeight="1" x14ac:dyDescent="0.35">
      <c r="A18" s="23" t="s">
        <v>134</v>
      </c>
      <c r="B18" s="38" t="str">
        <f>IFERROR(Input_Data!B17/Input_Data!B18,"N/D")</f>
        <v>N/D</v>
      </c>
      <c r="C18" s="38" t="str">
        <f>IFERROR(Input_Data!C17/Input_Data!C18,"N/D")</f>
        <v>N/D</v>
      </c>
      <c r="D18" s="38" t="str">
        <f>IFERROR(Input_Data!D17/Input_Data!D18,"N/D")</f>
        <v>N/D</v>
      </c>
      <c r="E18" s="38" t="str">
        <f>IFERROR(Input_Data!E17/Input_Data!E18,"N/D")</f>
        <v>N/D</v>
      </c>
      <c r="F18" s="40" t="s">
        <v>135</v>
      </c>
      <c r="G18" s="37" t="str">
        <f>IFERROR(IF(Input_Data!B17/Input_Data!B18&gt;3,"🟢 GOOD",IF(Input_Data!B17/Input_Data!B18&gt;=1.5,"🟡 REVIEW","🔴 ALERT")),"⚪ N/A")</f>
        <v>⚪ N/A</v>
      </c>
    </row>
    <row r="19" spans="1:7" ht="31.5" customHeight="1" x14ac:dyDescent="0.35">
      <c r="A19" s="91" t="s">
        <v>136</v>
      </c>
      <c r="B19" s="91"/>
      <c r="C19" s="91"/>
      <c r="D19" s="91"/>
      <c r="E19" s="91"/>
      <c r="F19" s="91"/>
      <c r="G19" s="91"/>
    </row>
    <row r="20" spans="1:7" ht="31.5" customHeight="1" x14ac:dyDescent="0.35">
      <c r="A20" s="23" t="s">
        <v>137</v>
      </c>
      <c r="B20" s="39" t="str">
        <f>IFERROR(Input_Data!B23/Input_Data!B9,"N/D")</f>
        <v>N/D</v>
      </c>
      <c r="C20" s="39" t="str">
        <f>IFERROR(Input_Data!C23/Input_Data!C9,"N/D")</f>
        <v>N/D</v>
      </c>
      <c r="D20" s="39" t="str">
        <f>IFERROR(Input_Data!D23/Input_Data!D9,"N/D")</f>
        <v>N/D</v>
      </c>
      <c r="E20" s="39" t="str">
        <f>IFERROR(Input_Data!E23/Input_Data!E9,"N/D")</f>
        <v>N/D</v>
      </c>
      <c r="F20" s="40" t="s">
        <v>138</v>
      </c>
      <c r="G20" s="37" t="str">
        <f>IFERROR(IF(Input_Data!B9=0,"⚪ N/A",IF(Input_Data!B23/Input_Data!B9&gt;0.02,"🟢 GOOD",IF(Input_Data!B23/Input_Data!B9&gt;0,"🟡 REVIEW","⚪ NO DIV"))),"⚪ N/A")</f>
        <v>⚪ N/A</v>
      </c>
    </row>
    <row r="21" spans="1:7" ht="31.5" customHeight="1" x14ac:dyDescent="0.35">
      <c r="A21" s="26" t="s">
        <v>139</v>
      </c>
      <c r="B21" s="41" t="str">
        <f>IFERROR(Input_Data!B36/(Input_Data!B9*Input_Data!B10),"N/D")</f>
        <v>N/D</v>
      </c>
      <c r="C21" s="41" t="str">
        <f>IFERROR(Input_Data!C36/(Input_Data!C9*Input_Data!C10),"N/D")</f>
        <v>N/D</v>
      </c>
      <c r="D21" s="41" t="str">
        <f>IFERROR(Input_Data!D36/(Input_Data!D9*Input_Data!D10),"N/D")</f>
        <v>N/D</v>
      </c>
      <c r="E21" s="41" t="str">
        <f>IFERROR(Input_Data!E36/(Input_Data!E9*Input_Data!E10),"N/D")</f>
        <v>N/D</v>
      </c>
      <c r="F21" s="36" t="s">
        <v>140</v>
      </c>
      <c r="G21" s="37" t="str">
        <f>IFERROR(IF(Input_Data!B9=0,"⚪ N/A",IF(Input_Data!B36/(Input_Data!B9*Input_Data!B10)&gt;0.05,"🟢 GOOD",IF(Input_Data!B36/(Input_Data!B9*Input_Data!B10)&gt;0.02,"🟡 REVIEW","🔴 ALERT"))),"⚪ N/A")</f>
        <v>⚪ N/A</v>
      </c>
    </row>
    <row r="22" spans="1:7" ht="18" customHeight="1" x14ac:dyDescent="0.35">
      <c r="A22" s="94"/>
      <c r="B22" s="94"/>
      <c r="C22" s="94"/>
      <c r="D22" s="94"/>
      <c r="E22" s="94"/>
      <c r="F22" s="94"/>
      <c r="G22" s="94"/>
    </row>
    <row r="23" spans="1:7" ht="39.75" customHeight="1" x14ac:dyDescent="0.35">
      <c r="A23" s="95" t="s">
        <v>141</v>
      </c>
      <c r="B23" s="95"/>
      <c r="C23" s="95"/>
      <c r="D23" s="95"/>
      <c r="E23" s="95"/>
      <c r="F23" s="95"/>
      <c r="G23" s="95"/>
    </row>
  </sheetData>
  <mergeCells count="9">
    <mergeCell ref="A14:G14"/>
    <mergeCell ref="A19:G19"/>
    <mergeCell ref="A22:G22"/>
    <mergeCell ref="A23:G23"/>
    <mergeCell ref="A1:G1"/>
    <mergeCell ref="A2:G2"/>
    <mergeCell ref="A3:G3"/>
    <mergeCell ref="A6:G6"/>
    <mergeCell ref="A9:G9"/>
  </mergeCells>
  <conditionalFormatting sqref="G7:G21">
    <cfRule type="expression" dxfId="16" priority="2">
      <formula>NOT(ISERROR(SEARCH("BUENO",G7)))</formula>
    </cfRule>
    <cfRule type="expression" dxfId="15" priority="3">
      <formula>NOT(ISERROR(SEARCH("REVISAR",G7)))</formula>
    </cfRule>
    <cfRule type="expression" dxfId="14" priority="4">
      <formula>NOT(ISERROR(SEARCH("ALERTA",G7)))</formula>
    </cfRule>
    <cfRule type="expression" dxfId="13" priority="5">
      <formula>NOT(ISERROR(SEARCH("GOOD",G7)))</formula>
    </cfRule>
    <cfRule type="expression" dxfId="12" priority="6">
      <formula>NOT(ISERROR(SEARCH("REVIEW",G7)))</formula>
    </cfRule>
    <cfRule type="expression" dxfId="11" priority="7">
      <formula>NOT(ISERROR(SEARCH("ALERT",G7)))</formula>
    </cfRule>
    <cfRule type="expression" dxfId="10" priority="8">
      <formula>OR(NOT(ISERROR(SEARCH("N/A",G7))),NOT(ISERROR(SEARCH("NO ",G7))))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"/>
  <sheetViews>
    <sheetView topLeftCell="A5" zoomScale="94" zoomScaleNormal="94" workbookViewId="0">
      <selection activeCell="B34" sqref="B34"/>
    </sheetView>
  </sheetViews>
  <sheetFormatPr defaultColWidth="8.6328125" defaultRowHeight="14.5" x14ac:dyDescent="0.35"/>
  <cols>
    <col min="1" max="1" width="42" customWidth="1"/>
    <col min="2" max="2" width="20" customWidth="1"/>
    <col min="3" max="4" width="22" customWidth="1"/>
    <col min="5" max="5" width="24.6328125" customWidth="1"/>
  </cols>
  <sheetData>
    <row r="1" spans="1:5" ht="33.75" customHeight="1" x14ac:dyDescent="0.35">
      <c r="A1" s="96" t="s">
        <v>142</v>
      </c>
      <c r="B1" s="96"/>
      <c r="C1" s="96"/>
      <c r="D1" s="96"/>
      <c r="E1" s="96"/>
    </row>
    <row r="2" spans="1:5" ht="18" customHeight="1" x14ac:dyDescent="0.35">
      <c r="A2" s="97" t="s">
        <v>143</v>
      </c>
      <c r="B2" s="97"/>
      <c r="C2" s="97"/>
      <c r="D2" s="97"/>
      <c r="E2" s="97"/>
    </row>
    <row r="3" spans="1:5" ht="21.75" customHeight="1" x14ac:dyDescent="0.35">
      <c r="A3" s="98" t="s">
        <v>144</v>
      </c>
      <c r="B3" s="98"/>
      <c r="C3" s="98"/>
      <c r="D3" s="98"/>
      <c r="E3" s="98"/>
    </row>
    <row r="4" spans="1:5" ht="24" customHeight="1" x14ac:dyDescent="0.35">
      <c r="A4" s="16" t="s">
        <v>65</v>
      </c>
      <c r="B4" s="16" t="s">
        <v>145</v>
      </c>
      <c r="C4" s="16" t="s">
        <v>146</v>
      </c>
      <c r="D4" s="16"/>
      <c r="E4" s="16"/>
    </row>
    <row r="5" spans="1:5" ht="27.75" customHeight="1" x14ac:dyDescent="0.35">
      <c r="A5" s="26" t="s">
        <v>147</v>
      </c>
      <c r="B5" s="42"/>
      <c r="C5" s="99" t="s">
        <v>148</v>
      </c>
      <c r="D5" s="99"/>
      <c r="E5" s="99"/>
    </row>
    <row r="6" spans="1:5" ht="27.75" customHeight="1" x14ac:dyDescent="0.35">
      <c r="A6" s="23" t="s">
        <v>149</v>
      </c>
      <c r="B6" s="43"/>
      <c r="C6" s="100" t="s">
        <v>150</v>
      </c>
      <c r="D6" s="100"/>
      <c r="E6" s="100"/>
    </row>
    <row r="7" spans="1:5" ht="27.75" customHeight="1" x14ac:dyDescent="0.35">
      <c r="A7" s="26" t="s">
        <v>151</v>
      </c>
      <c r="B7" s="44">
        <f>B5*B6</f>
        <v>0</v>
      </c>
      <c r="C7" s="101" t="s">
        <v>152</v>
      </c>
      <c r="D7" s="101"/>
      <c r="E7" s="101"/>
    </row>
    <row r="8" spans="1:5" ht="21.75" customHeight="1" x14ac:dyDescent="0.35">
      <c r="A8" s="102" t="s">
        <v>153</v>
      </c>
      <c r="B8" s="102"/>
      <c r="C8" s="102"/>
      <c r="D8" s="102"/>
      <c r="E8" s="102"/>
    </row>
    <row r="9" spans="1:5" ht="27.75" customHeight="1" x14ac:dyDescent="0.35">
      <c r="A9" s="26" t="s">
        <v>154</v>
      </c>
      <c r="B9" s="42"/>
      <c r="C9" s="101" t="s">
        <v>155</v>
      </c>
      <c r="D9" s="101"/>
      <c r="E9" s="101"/>
    </row>
    <row r="10" spans="1:5" ht="27.75" customHeight="1" x14ac:dyDescent="0.35">
      <c r="A10" s="23" t="s">
        <v>156</v>
      </c>
      <c r="B10" s="44">
        <f>B9*B6</f>
        <v>0</v>
      </c>
      <c r="C10" s="100" t="s">
        <v>157</v>
      </c>
      <c r="D10" s="100"/>
      <c r="E10" s="100"/>
    </row>
    <row r="11" spans="1:5" ht="21.75" customHeight="1" x14ac:dyDescent="0.35">
      <c r="A11" s="102" t="s">
        <v>158</v>
      </c>
      <c r="B11" s="102"/>
      <c r="C11" s="102"/>
      <c r="D11" s="102"/>
      <c r="E11" s="102"/>
    </row>
    <row r="12" spans="1:5" ht="24" customHeight="1" x14ac:dyDescent="0.35">
      <c r="A12" s="26" t="s">
        <v>159</v>
      </c>
      <c r="B12" s="44">
        <f>B10-B7</f>
        <v>0</v>
      </c>
      <c r="C12" s="101" t="s">
        <v>160</v>
      </c>
      <c r="D12" s="101"/>
      <c r="E12" s="101"/>
    </row>
    <row r="13" spans="1:5" ht="24" customHeight="1" x14ac:dyDescent="0.35">
      <c r="A13" s="23" t="s">
        <v>161</v>
      </c>
      <c r="B13" s="45" t="str">
        <f>IFERROR(B10/B7-1,"N/D")</f>
        <v>N/D</v>
      </c>
      <c r="C13" s="100" t="s">
        <v>162</v>
      </c>
      <c r="D13" s="100"/>
      <c r="E13" s="100"/>
    </row>
    <row r="14" spans="1:5" ht="24" customHeight="1" x14ac:dyDescent="0.35">
      <c r="A14" s="26" t="s">
        <v>163</v>
      </c>
      <c r="B14" s="44" t="str">
        <f>IFERROR((B10-B7)/B6,"N/D")</f>
        <v>N/D</v>
      </c>
      <c r="C14" s="101" t="s">
        <v>164</v>
      </c>
      <c r="D14" s="101"/>
      <c r="E14" s="101"/>
    </row>
    <row r="15" spans="1:5" ht="24" customHeight="1" x14ac:dyDescent="0.35">
      <c r="A15" s="23" t="s">
        <v>165</v>
      </c>
      <c r="B15" s="46" t="str">
        <f>IF(B9&gt;B5,"✅ YES — current price &gt; purchase price","❌ NO — current price &lt; purchase price")</f>
        <v>❌ NO — current price &lt; purchase price</v>
      </c>
      <c r="C15" s="100" t="s">
        <v>166</v>
      </c>
      <c r="D15" s="100"/>
      <c r="E15" s="100"/>
    </row>
    <row r="16" spans="1:5" ht="24" customHeight="1" x14ac:dyDescent="0.35">
      <c r="A16" s="26" t="s">
        <v>167</v>
      </c>
      <c r="B16" s="47">
        <f>B6*3.64</f>
        <v>0</v>
      </c>
      <c r="C16" s="101" t="s">
        <v>168</v>
      </c>
      <c r="D16" s="101"/>
      <c r="E16" s="101"/>
    </row>
    <row r="17" spans="1:5" ht="21.75" customHeight="1" x14ac:dyDescent="0.35">
      <c r="A17" s="102" t="s">
        <v>169</v>
      </c>
      <c r="B17" s="102"/>
      <c r="C17" s="102"/>
      <c r="D17" s="102"/>
      <c r="E17" s="102"/>
    </row>
    <row r="18" spans="1:5" ht="24" customHeight="1" x14ac:dyDescent="0.35">
      <c r="A18" s="26" t="s">
        <v>170</v>
      </c>
      <c r="B18" s="48"/>
      <c r="C18" s="101" t="s">
        <v>171</v>
      </c>
      <c r="D18" s="101"/>
      <c r="E18" s="101"/>
    </row>
    <row r="19" spans="1:5" ht="24" customHeight="1" x14ac:dyDescent="0.35">
      <c r="A19" s="23" t="s">
        <v>172</v>
      </c>
      <c r="B19" s="42"/>
      <c r="C19" s="100" t="s">
        <v>173</v>
      </c>
      <c r="D19" s="100"/>
      <c r="E19" s="100"/>
    </row>
    <row r="20" spans="1:5" ht="21.75" customHeight="1" x14ac:dyDescent="0.35">
      <c r="A20" s="98" t="s">
        <v>174</v>
      </c>
      <c r="B20" s="98"/>
      <c r="C20" s="98"/>
      <c r="D20" s="98"/>
      <c r="E20" s="98"/>
    </row>
    <row r="21" spans="1:5" ht="25.5" customHeight="1" x14ac:dyDescent="0.35">
      <c r="A21" s="16" t="s">
        <v>175</v>
      </c>
      <c r="B21" s="16" t="s">
        <v>176</v>
      </c>
      <c r="C21" s="16" t="s">
        <v>177</v>
      </c>
      <c r="D21" s="16" t="s">
        <v>178</v>
      </c>
      <c r="E21" s="16" t="s">
        <v>179</v>
      </c>
    </row>
    <row r="22" spans="1:5" ht="21.75" customHeight="1" x14ac:dyDescent="0.35">
      <c r="A22" s="49" t="s">
        <v>180</v>
      </c>
      <c r="B22" s="50" t="str">
        <f>IFERROR((B9-B5)/B5,"N/D")</f>
        <v>N/D</v>
      </c>
      <c r="C22" s="51" t="str">
        <f>IFERROR(72/(B22*100),"N/D")</f>
        <v>N/D</v>
      </c>
      <c r="D22" s="52" t="str">
        <f>IFERROR(B10*(1+B22)^5,"N/D")</f>
        <v>N/D</v>
      </c>
      <c r="E22" s="52" t="str">
        <f>IFERROR(B10*(1+B22)^10,"N/D")</f>
        <v>N/D</v>
      </c>
    </row>
    <row r="23" spans="1:5" ht="57" customHeight="1" x14ac:dyDescent="0.35">
      <c r="A23" s="53" t="s">
        <v>181</v>
      </c>
      <c r="B23" s="54">
        <v>0.15</v>
      </c>
      <c r="C23" s="51">
        <f>IFERROR(72/(B23*100),"N/D")</f>
        <v>4.8</v>
      </c>
      <c r="D23" s="52">
        <f>IFERROR(B10*(1+B23)^5,"N/D")</f>
        <v>0</v>
      </c>
      <c r="E23" s="52">
        <f>IFERROR(B10*(1+B23)^10,"N/D")</f>
        <v>0</v>
      </c>
    </row>
    <row r="24" spans="1:5" ht="21.75" customHeight="1" x14ac:dyDescent="0.35">
      <c r="A24" s="55" t="s">
        <v>182</v>
      </c>
      <c r="B24" s="56">
        <v>0.1</v>
      </c>
      <c r="C24" s="51">
        <f>IFERROR(72/(B24*100),"N/D")</f>
        <v>7.2</v>
      </c>
      <c r="D24" s="52">
        <f>IFERROR(B10*(1+B24)^5,"N/D")</f>
        <v>0</v>
      </c>
      <c r="E24" s="52">
        <f>IFERROR(B10*(1+B24)^10,"N/D")</f>
        <v>0</v>
      </c>
    </row>
    <row r="25" spans="1:5" ht="21.75" customHeight="1" x14ac:dyDescent="0.35">
      <c r="A25" s="57" t="s">
        <v>183</v>
      </c>
      <c r="B25" s="58">
        <v>7.0000000000000007E-2</v>
      </c>
      <c r="C25" s="51">
        <f>IFERROR(72/(B25*100),"N/D")</f>
        <v>10.285714285714285</v>
      </c>
      <c r="D25" s="52">
        <f>IFERROR(B10*(1+B25)^5,"N/D")</f>
        <v>0</v>
      </c>
      <c r="E25" s="52">
        <f>IFERROR(B10*(1+B25)^10,"N/D")</f>
        <v>0</v>
      </c>
    </row>
    <row r="27" spans="1:5" ht="24" customHeight="1" x14ac:dyDescent="0.35">
      <c r="A27" s="103" t="s">
        <v>184</v>
      </c>
      <c r="B27" s="103"/>
      <c r="C27" s="103"/>
      <c r="D27" s="103"/>
      <c r="E27" s="103"/>
    </row>
    <row r="28" spans="1:5" ht="18" customHeight="1" x14ac:dyDescent="0.35">
      <c r="A28" s="104" t="s">
        <v>185</v>
      </c>
      <c r="B28" s="104"/>
      <c r="C28" s="104"/>
      <c r="D28" s="104"/>
      <c r="E28" s="104"/>
    </row>
    <row r="29" spans="1:5" ht="27.75" customHeight="1" x14ac:dyDescent="0.35">
      <c r="A29" s="16" t="s">
        <v>186</v>
      </c>
      <c r="B29" s="16" t="s">
        <v>187</v>
      </c>
      <c r="C29" s="16" t="s">
        <v>188</v>
      </c>
      <c r="D29" s="16" t="s">
        <v>189</v>
      </c>
      <c r="E29" s="16" t="s">
        <v>110</v>
      </c>
    </row>
    <row r="30" spans="1:5" ht="18" customHeight="1" x14ac:dyDescent="0.35">
      <c r="A30" s="105" t="s">
        <v>190</v>
      </c>
      <c r="B30" s="105"/>
      <c r="C30" s="105"/>
      <c r="D30" s="105"/>
      <c r="E30" s="105"/>
    </row>
    <row r="31" spans="1:5" ht="27.75" customHeight="1" x14ac:dyDescent="0.35">
      <c r="A31" s="26" t="s">
        <v>191</v>
      </c>
      <c r="B31" s="59"/>
      <c r="C31" s="60" t="s">
        <v>192</v>
      </c>
      <c r="D31" s="61" t="s">
        <v>193</v>
      </c>
      <c r="E31" s="62" t="str">
        <f>IF(B31&lt;22,"🟢 ATTRACTIVE",IF(B31&gt;38,"🔴 EXPENSIVE","🟡 NORMAL"))</f>
        <v>🟢 ATTRACTIVE</v>
      </c>
    </row>
    <row r="32" spans="1:5" ht="27.75" customHeight="1" x14ac:dyDescent="0.35">
      <c r="A32" s="23" t="s">
        <v>194</v>
      </c>
      <c r="B32" s="59"/>
      <c r="C32" s="106" t="s">
        <v>195</v>
      </c>
      <c r="D32" s="106"/>
      <c r="E32" s="106"/>
    </row>
    <row r="33" spans="1:5" ht="34.5" customHeight="1" x14ac:dyDescent="0.35">
      <c r="A33" s="26" t="s">
        <v>196</v>
      </c>
      <c r="B33" s="59"/>
      <c r="C33" s="107" t="s">
        <v>197</v>
      </c>
      <c r="D33" s="107"/>
      <c r="E33" s="107"/>
    </row>
    <row r="34" spans="1:5" ht="36" customHeight="1" x14ac:dyDescent="0.35">
      <c r="A34" s="63" t="s">
        <v>198</v>
      </c>
      <c r="B34" s="64" t="str">
        <f>IFERROR(B31/B33-1,"N/A")</f>
        <v>N/A</v>
      </c>
      <c r="C34" s="108" t="str">
        <f>IFERROR(IF(B31&lt;B33*0.9,"Trading "&amp;TEXT(ABS(1-B31/B33)*100,"0.0")&amp;"% cheaper than its historical average",IF(B31&gt;B33*1.1,"Trading "&amp;TEXT(ABS(1-B31/B33)*100,"0.0")&amp;"% more expensive than its historical average","Trading near its historical P/E average")),"N/A")</f>
        <v>Trading near its historical P/E average</v>
      </c>
      <c r="D34" s="108"/>
      <c r="E34" s="65" t="str">
        <f>IFERROR(IF(B31&lt;B33*0.9,"🟢 ATTRACTIVE",IF(B31&gt;B33*1.1,"🔴 EXPENSIVE","🟡 NORMAL")),"⚪ N/A")</f>
        <v>🟡 NORMAL</v>
      </c>
    </row>
    <row r="35" spans="1:5" ht="22.5" customHeight="1" x14ac:dyDescent="0.35">
      <c r="A35" s="23" t="s">
        <v>199</v>
      </c>
      <c r="B35" s="59"/>
      <c r="C35" s="60" t="s">
        <v>200</v>
      </c>
      <c r="D35" s="61" t="s">
        <v>201</v>
      </c>
      <c r="E35" s="62" t="str">
        <f>IF(B35&lt;1.5,"🟢 ATTRACTIVE",IF(B35&gt;5,"🔴 EXPENSIVE","🟡 NORMAL"))</f>
        <v>🟢 ATTRACTIVE</v>
      </c>
    </row>
    <row r="36" spans="1:5" ht="27.75" customHeight="1" x14ac:dyDescent="0.35">
      <c r="A36" s="109" t="s">
        <v>202</v>
      </c>
      <c r="B36" s="109"/>
      <c r="C36" s="109"/>
      <c r="D36" s="109"/>
      <c r="E36" s="109"/>
    </row>
    <row r="37" spans="1:5" ht="27.75" customHeight="1" x14ac:dyDescent="0.35">
      <c r="A37" s="26" t="s">
        <v>203</v>
      </c>
      <c r="B37" s="42"/>
      <c r="C37" s="110" t="s">
        <v>204</v>
      </c>
      <c r="D37" s="110"/>
      <c r="E37" s="66" t="s">
        <v>205</v>
      </c>
    </row>
    <row r="38" spans="1:5" ht="27.75" customHeight="1" x14ac:dyDescent="0.35">
      <c r="A38" s="23" t="s">
        <v>206</v>
      </c>
      <c r="B38" s="42"/>
      <c r="C38" s="111" t="s">
        <v>207</v>
      </c>
      <c r="D38" s="111"/>
      <c r="E38" s="67" t="s">
        <v>208</v>
      </c>
    </row>
    <row r="39" spans="1:5" ht="22.5" customHeight="1" x14ac:dyDescent="0.35">
      <c r="A39" s="26" t="s">
        <v>209</v>
      </c>
      <c r="B39" s="68" t="str">
        <f>IFERROR((B9-B37)/(B38-B37),"N/A")</f>
        <v>N/A</v>
      </c>
      <c r="C39" s="60" t="s">
        <v>210</v>
      </c>
      <c r="D39" s="61" t="s">
        <v>211</v>
      </c>
      <c r="E39" s="62" t="str">
        <f>IFERROR(IF(B39&lt;0.33,"🟢 ATTRACTIVE",IF(B39&lt;0.67,"🟡 NORMAL","🔴 EXPENSIVE")),"⚪ N/A")</f>
        <v>🔴 EXPENSIVE</v>
      </c>
    </row>
    <row r="40" spans="1:5" ht="39.75" customHeight="1" x14ac:dyDescent="0.35">
      <c r="A40" s="109" t="s">
        <v>212</v>
      </c>
      <c r="B40" s="109"/>
      <c r="C40" s="109"/>
      <c r="D40" s="109"/>
      <c r="E40" s="109"/>
    </row>
    <row r="41" spans="1:5" ht="34.5" customHeight="1" x14ac:dyDescent="0.35">
      <c r="A41" s="26" t="s">
        <v>213</v>
      </c>
      <c r="B41" s="69" t="str">
        <f>IFERROR(B9*(B33/B31),"N/A")</f>
        <v>N/A</v>
      </c>
      <c r="C41" s="112" t="s">
        <v>214</v>
      </c>
      <c r="D41" s="112"/>
      <c r="E41" s="70" t="str">
        <f>IFERROR(IF(B9&lt;B41,"🟢 BUY ZONE",IF(B9&lt;B41*1.05,"🟡 CLOSE","🔴 WAIT")),"⚪ N/D")</f>
        <v>🟢 BUY ZONE</v>
      </c>
    </row>
    <row r="42" spans="1:5" ht="27.75" customHeight="1" x14ac:dyDescent="0.35">
      <c r="A42" s="113" t="str">
        <f>IF(AND(E31="🟢 ATTRACTIVE",E39="🟢 ATTRACTIVE"),"🟢 ATTRACTIVE MOMENT — P/E low and price near annual low",IF(AND(E31="🔴 EXPENSIVE",E39="🔴 EXPENSIVE"),"🔴 AVOID — P/E high and price near annual high","🟡 NEUTRAL — review individual indicators above"))</f>
        <v>🟡 NEUTRAL — review individual indicators above</v>
      </c>
      <c r="B42" s="113"/>
      <c r="C42" s="113"/>
      <c r="D42" s="113"/>
      <c r="E42" s="71" t="s">
        <v>215</v>
      </c>
    </row>
    <row r="43" spans="1:5" ht="39.75" customHeight="1" x14ac:dyDescent="0.35">
      <c r="A43" s="114" t="s">
        <v>216</v>
      </c>
      <c r="B43" s="114"/>
      <c r="C43" s="114"/>
      <c r="D43" s="114"/>
      <c r="E43" s="114"/>
    </row>
  </sheetData>
  <mergeCells count="32">
    <mergeCell ref="A42:D42"/>
    <mergeCell ref="A43:E43"/>
    <mergeCell ref="A36:E36"/>
    <mergeCell ref="C37:D37"/>
    <mergeCell ref="C38:D38"/>
    <mergeCell ref="A40:E40"/>
    <mergeCell ref="C41:D41"/>
    <mergeCell ref="A28:E28"/>
    <mergeCell ref="A30:E30"/>
    <mergeCell ref="C32:E32"/>
    <mergeCell ref="C33:E33"/>
    <mergeCell ref="C34:D34"/>
    <mergeCell ref="A17:E17"/>
    <mergeCell ref="C18:E18"/>
    <mergeCell ref="C19:E19"/>
    <mergeCell ref="A20:E20"/>
    <mergeCell ref="A27:E27"/>
    <mergeCell ref="C12:E12"/>
    <mergeCell ref="C13:E13"/>
    <mergeCell ref="C14:E14"/>
    <mergeCell ref="C15:E15"/>
    <mergeCell ref="C16:E16"/>
    <mergeCell ref="C7:E7"/>
    <mergeCell ref="A8:E8"/>
    <mergeCell ref="C9:E9"/>
    <mergeCell ref="C10:E10"/>
    <mergeCell ref="A11:E11"/>
    <mergeCell ref="A1:E1"/>
    <mergeCell ref="A2:E2"/>
    <mergeCell ref="A3:E3"/>
    <mergeCell ref="C5:E5"/>
    <mergeCell ref="C6:E6"/>
  </mergeCells>
  <conditionalFormatting sqref="E31 E34:E35 E37:E39">
    <cfRule type="expression" dxfId="9" priority="6">
      <formula>OR(NOT(ISERROR(SEARCH("ATTRACTIVE",E31))),NOT(ISERROR(SEARCH("COMPRA",E31))))</formula>
    </cfRule>
    <cfRule type="expression" dxfId="8" priority="7">
      <formula>OR(NOT(ISERROR(SEARCH("NORMAL",E31))),NOT(ISERROR(SEARCH("CASI",E31))),NOT(ISERROR(SEARCH("NEUTRAL",E31))))</formula>
    </cfRule>
    <cfRule type="expression" dxfId="7" priority="8">
      <formula>OR(NOT(ISERROR(SEARCH("EXPENSIVE",E31))),NOT(ISERROR(SEARCH("WAIT",E31))))</formula>
    </cfRule>
  </conditionalFormatting>
  <conditionalFormatting sqref="E34">
    <cfRule type="expression" dxfId="6" priority="9">
      <formula>NOT(ISERROR(SEARCH("ATTRACTIVE",E34)))</formula>
    </cfRule>
    <cfRule type="expression" dxfId="5" priority="10">
      <formula>NOT(ISERROR(SEARCH("NORMAL",E34)))</formula>
    </cfRule>
    <cfRule type="expression" dxfId="4" priority="11">
      <formula>NOT(ISERROR(SEARCH("EXPENSIVE",E34)))</formula>
    </cfRule>
  </conditionalFormatting>
  <conditionalFormatting sqref="E41">
    <cfRule type="expression" dxfId="3" priority="2">
      <formula>OR(NOT(ISERROR(SEARCH("ATTRACTIVE",E41))),NOT(ISERROR(SEARCH("BUY",E41))),NOT(ISERROR(SEARCH("FAIR",E41))),NOT(ISERROR(SEARCH("BEATS",E41))))</formula>
    </cfRule>
    <cfRule type="expression" dxfId="2" priority="3">
      <formula>OR(NOT(ISERROR(SEARCH("NORMAL",E41))),NOT(ISERROR(SEARCH("CLOSE",E41))),NOT(ISERROR(SEARCH("IN LINE",E41))))</formula>
    </cfRule>
    <cfRule type="expression" dxfId="1" priority="4">
      <formula>OR(NOT(ISERROR(SEARCH("EXPENSIVE",E41))),NOT(ISERROR(SEARCH("WAIT",E41))),NOT(ISERROR(SEARCH("LAGS",E41))))</formula>
    </cfRule>
    <cfRule type="expression" dxfId="0" priority="5">
      <formula>NOT(ISERROR(SEARCH("N/A",E41)))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9"/>
  <sheetViews>
    <sheetView zoomScaleNormal="100" workbookViewId="0">
      <selection activeCell="M7" sqref="M7"/>
    </sheetView>
  </sheetViews>
  <sheetFormatPr defaultColWidth="8.6328125" defaultRowHeight="14.5" x14ac:dyDescent="0.35"/>
  <cols>
    <col min="1" max="18" width="10.54296875" customWidth="1"/>
  </cols>
  <sheetData>
    <row r="1" spans="1:18" ht="30" customHeight="1" x14ac:dyDescent="0.35">
      <c r="A1" s="115" t="s">
        <v>217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</row>
    <row r="2" spans="1:18" ht="15.75" customHeight="1" x14ac:dyDescent="0.35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</row>
    <row r="3" spans="1:18" ht="13.5" customHeight="1" x14ac:dyDescent="0.35">
      <c r="A3" s="117" t="s">
        <v>219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</row>
    <row r="4" spans="1:18" ht="21.75" customHeight="1" x14ac:dyDescent="0.35">
      <c r="G4" s="118" t="s">
        <v>125</v>
      </c>
      <c r="H4" s="118"/>
      <c r="I4" s="118"/>
      <c r="J4" s="118"/>
      <c r="K4" s="118"/>
      <c r="L4" s="118"/>
    </row>
    <row r="5" spans="1:18" ht="19.5" customHeight="1" x14ac:dyDescent="0.35">
      <c r="G5" s="119" t="str">
        <f>IFERROR(Input_Data!B21/Input_Data!B31,"N/A")</f>
        <v>N/A</v>
      </c>
      <c r="H5" s="119"/>
      <c r="I5" s="72" t="str">
        <f>IFERROR(Input_Data!C21/Input_Data!C31,"N/A")</f>
        <v>N/A</v>
      </c>
      <c r="J5" s="72" t="str">
        <f>IFERROR(Input_Data!D21/Input_Data!D31,"N/A")</f>
        <v>N/A</v>
      </c>
      <c r="K5" s="119" t="str">
        <f>IFERROR(Input_Data!E21/Input_Data!E31,"N/A")</f>
        <v>N/A</v>
      </c>
      <c r="L5" s="119"/>
    </row>
    <row r="6" spans="1:18" ht="7.5" customHeight="1" x14ac:dyDescent="0.35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</row>
    <row r="7" spans="1:18" ht="21.75" customHeight="1" x14ac:dyDescent="0.35">
      <c r="A7" s="121" t="s">
        <v>220</v>
      </c>
      <c r="B7" s="121"/>
      <c r="C7" s="121"/>
      <c r="D7" s="121"/>
      <c r="E7" s="121"/>
      <c r="F7" s="121"/>
      <c r="G7" s="121" t="s">
        <v>221</v>
      </c>
      <c r="H7" s="121"/>
      <c r="I7" s="121"/>
      <c r="J7" s="121"/>
      <c r="K7" s="121"/>
      <c r="L7" s="121"/>
      <c r="M7" s="121" t="s">
        <v>222</v>
      </c>
      <c r="N7" s="121"/>
      <c r="O7" s="121"/>
      <c r="P7" s="121"/>
      <c r="Q7" s="121"/>
      <c r="R7" s="121"/>
    </row>
    <row r="8" spans="1:18" ht="19.5" customHeight="1" x14ac:dyDescent="0.35">
      <c r="A8" s="122" t="str">
        <f>IFERROR(Input_Data!B21/Input_Data!B12,"N/A")</f>
        <v>N/A</v>
      </c>
      <c r="B8" s="122"/>
      <c r="C8" s="73" t="str">
        <f>IFERROR(Input_Data!C21/Input_Data!C12,"N/A")</f>
        <v>N/A</v>
      </c>
      <c r="D8" s="122" t="str">
        <f>IFERROR(Input_Data!D21/Input_Data!D12,"N/A")</f>
        <v>N/A</v>
      </c>
      <c r="E8" s="122"/>
      <c r="F8" s="73" t="str">
        <f>IFERROR(Input_Data!E21/Input_Data!E12,"N/A")</f>
        <v>N/A</v>
      </c>
      <c r="G8" s="123" t="str">
        <f>IFERROR(Input_Data!B12/Input_Data!B27,"N/A")</f>
        <v>N/A</v>
      </c>
      <c r="H8" s="123"/>
      <c r="I8" s="74" t="str">
        <f>IFERROR(Input_Data!C12/Input_Data!C27,"N/A")</f>
        <v>N/A</v>
      </c>
      <c r="J8" s="123" t="str">
        <f>IFERROR(Input_Data!D12/Input_Data!D27,"N/A")</f>
        <v>N/A</v>
      </c>
      <c r="K8" s="123"/>
      <c r="L8" s="74" t="str">
        <f>IFERROR(Input_Data!E12/Input_Data!E27,"N/A")</f>
        <v>N/A</v>
      </c>
      <c r="M8" s="124" t="str">
        <f>IFERROR(Input_Data!B27/Input_Data!B31,"N/A")</f>
        <v>N/A</v>
      </c>
      <c r="N8" s="124"/>
      <c r="O8" s="75" t="str">
        <f>IFERROR(Input_Data!C27/Input_Data!C31,"N/A")</f>
        <v>N/A</v>
      </c>
      <c r="P8" s="124" t="str">
        <f>IFERROR(Input_Data!D27/Input_Data!D31,"N/A")</f>
        <v>N/A</v>
      </c>
      <c r="Q8" s="124"/>
      <c r="R8" s="75" t="str">
        <f>IFERROR(Input_Data!E27/Input_Data!E31,"N/A")</f>
        <v>N/A</v>
      </c>
    </row>
    <row r="9" spans="1:18" ht="7.5" customHeight="1" x14ac:dyDescent="0.35">
      <c r="A9" s="125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</row>
    <row r="10" spans="1:18" ht="21.75" customHeight="1" x14ac:dyDescent="0.35">
      <c r="A10" s="126" t="s">
        <v>223</v>
      </c>
      <c r="B10" s="126"/>
      <c r="C10" s="126"/>
      <c r="D10" s="126" t="s">
        <v>224</v>
      </c>
      <c r="E10" s="126"/>
      <c r="F10" s="126"/>
      <c r="G10" s="126" t="s">
        <v>225</v>
      </c>
      <c r="H10" s="126"/>
      <c r="I10" s="126"/>
      <c r="J10" s="126" t="s">
        <v>226</v>
      </c>
      <c r="K10" s="126"/>
      <c r="L10" s="126"/>
      <c r="M10" s="126" t="s">
        <v>227</v>
      </c>
      <c r="N10" s="126"/>
      <c r="O10" s="126"/>
      <c r="P10" s="126" t="s">
        <v>228</v>
      </c>
      <c r="Q10" s="126"/>
      <c r="R10" s="126"/>
    </row>
    <row r="11" spans="1:18" ht="19.5" customHeight="1" x14ac:dyDescent="0.35">
      <c r="A11" s="76" t="str">
        <f>IFERROR(Input_Data!B14/Input_Data!B12,"N/A")</f>
        <v>N/A</v>
      </c>
      <c r="B11" s="76" t="str">
        <f>IFERROR(Input_Data!C14/Input_Data!C12,"N/A")</f>
        <v>N/A</v>
      </c>
      <c r="C11" s="76" t="str">
        <f>IFERROR(Input_Data!D14/Input_Data!D12,"N/A")</f>
        <v>N/A</v>
      </c>
      <c r="D11" s="76" t="str">
        <f>IFERROR(Input_Data!B17/Input_Data!B12,"N/A")</f>
        <v>N/A</v>
      </c>
      <c r="E11" s="76" t="str">
        <f>IFERROR(Input_Data!C17/Input_Data!C12,"N/A")</f>
        <v>N/A</v>
      </c>
      <c r="F11" s="76" t="str">
        <f>IFERROR(Input_Data!D17/Input_Data!D12,"N/A")</f>
        <v>N/A</v>
      </c>
      <c r="G11" s="77" t="str">
        <f>IFERROR(Input_Data!B26/Input_Data!B12,"N/A")</f>
        <v>N/A</v>
      </c>
      <c r="H11" s="77" t="str">
        <f>IFERROR(Input_Data!C26/Input_Data!C12,"N/A")</f>
        <v>N/A</v>
      </c>
      <c r="I11" s="77" t="str">
        <f>IFERROR(Input_Data!D26/Input_Data!D12,"N/A")</f>
        <v>N/A</v>
      </c>
      <c r="J11" s="77" t="str">
        <f>IFERROR(Input_Data!B12/Input_Data!B27,"N/A")</f>
        <v>N/A</v>
      </c>
      <c r="K11" s="77" t="str">
        <f>IFERROR(Input_Data!C12/Input_Data!C27,"N/A")</f>
        <v>N/A</v>
      </c>
      <c r="L11" s="77" t="str">
        <f>IFERROR(Input_Data!D12/Input_Data!D27,"N/A")</f>
        <v>N/A</v>
      </c>
      <c r="M11" s="77" t="str">
        <f>IFERROR(Input_Data!B29/Input_Data!B31,"N/A")</f>
        <v>N/A</v>
      </c>
      <c r="N11" s="77" t="str">
        <f>IFERROR(Input_Data!C29/Input_Data!C31,"N/A")</f>
        <v>N/A</v>
      </c>
      <c r="O11" s="77" t="str">
        <f>IFERROR(Input_Data!D29/Input_Data!D31,"N/A")</f>
        <v>N/A</v>
      </c>
      <c r="P11" s="77" t="str">
        <f>IFERROR(Input_Data!B26/Input_Data!B28,"N/A")</f>
        <v>N/A</v>
      </c>
      <c r="Q11" s="77" t="str">
        <f>IFERROR(Input_Data!C26/Input_Data!C28,"N/A")</f>
        <v>N/A</v>
      </c>
      <c r="R11" s="77" t="str">
        <f>IFERROR(Input_Data!D26/Input_Data!D28,"N/A")</f>
        <v>N/A</v>
      </c>
    </row>
    <row r="12" spans="1:18" ht="7.5" customHeight="1" x14ac:dyDescent="0.35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</row>
    <row r="13" spans="1:18" ht="21.75" customHeight="1" x14ac:dyDescent="0.35">
      <c r="A13" s="127" t="s">
        <v>229</v>
      </c>
      <c r="B13" s="127"/>
      <c r="C13" s="78" t="s">
        <v>230</v>
      </c>
      <c r="D13" s="127" t="s">
        <v>231</v>
      </c>
      <c r="E13" s="127"/>
      <c r="F13" s="78" t="s">
        <v>232</v>
      </c>
      <c r="G13" s="127" t="s">
        <v>233</v>
      </c>
      <c r="H13" s="127"/>
      <c r="I13" s="127"/>
      <c r="J13" s="127" t="s">
        <v>234</v>
      </c>
      <c r="K13" s="127"/>
      <c r="L13" s="127"/>
      <c r="M13" s="127" t="s">
        <v>235</v>
      </c>
      <c r="N13" s="127"/>
      <c r="O13" s="127"/>
      <c r="P13" s="127" t="s">
        <v>236</v>
      </c>
      <c r="Q13" s="127"/>
      <c r="R13" s="127"/>
    </row>
    <row r="14" spans="1:18" ht="19.5" customHeight="1" x14ac:dyDescent="0.35">
      <c r="A14" s="79">
        <f>IFERROR(Input_Data!B12/1000000000,"N/A")</f>
        <v>0</v>
      </c>
      <c r="B14" s="79">
        <f>IFERROR(Input_Data!C12/1000000000,"N/A")</f>
        <v>0</v>
      </c>
      <c r="C14" s="79">
        <f>IFERROR(Input_Data!B13/1000000000,"N/A")</f>
        <v>0</v>
      </c>
      <c r="D14" s="79">
        <f>IFERROR(Input_Data!B17/1000000000,"N/A")</f>
        <v>0</v>
      </c>
      <c r="E14" s="79">
        <f>IFERROR(Input_Data!C17/1000000000,"N/A")</f>
        <v>0</v>
      </c>
      <c r="F14" s="79">
        <f>IFERROR(Input_Data!B18/1000000000,"N/A")</f>
        <v>0</v>
      </c>
      <c r="G14" s="79">
        <f>IFERROR(Input_Data!B27/1000000000,"N/A")</f>
        <v>0</v>
      </c>
      <c r="H14" s="79">
        <f>IFERROR(Input_Data!C27/1000000000,"N/A")</f>
        <v>0</v>
      </c>
      <c r="I14" s="79">
        <f>IFERROR(Input_Data!D27/1000000000,"N/A")</f>
        <v>0</v>
      </c>
      <c r="J14" s="79">
        <f>IFERROR(Input_Data!B21/1000000000,"N/A")</f>
        <v>0</v>
      </c>
      <c r="K14" s="79">
        <f>IFERROR(Input_Data!C21/1000000000,"N/A")</f>
        <v>0</v>
      </c>
      <c r="L14" s="79">
        <f>IFERROR(Input_Data!D21/1000000000,"N/A")</f>
        <v>0</v>
      </c>
      <c r="M14" s="79">
        <f>IFERROR(Input_Data!B30/1000000000,"N/A")</f>
        <v>0</v>
      </c>
      <c r="N14" s="79">
        <f>IFERROR(Input_Data!C30/1000000000,"N/A")</f>
        <v>0</v>
      </c>
      <c r="O14" s="79">
        <f>IFERROR(Input_Data!D30/1000000000,"N/A")</f>
        <v>0</v>
      </c>
      <c r="P14" s="79">
        <f>IFERROR(Input_Data!B31/1000000000,"N/A")</f>
        <v>0</v>
      </c>
      <c r="Q14" s="79">
        <f>IFERROR(Input_Data!C31/1000000000,"N/A")</f>
        <v>0</v>
      </c>
      <c r="R14" s="79">
        <f>IFERROR(Input_Data!D31/1000000000,"N/A")</f>
        <v>0</v>
      </c>
    </row>
    <row r="15" spans="1:18" ht="13.5" customHeight="1" x14ac:dyDescent="0.35">
      <c r="A15" s="117" t="s">
        <v>237</v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</row>
    <row r="16" spans="1:18" ht="21.75" customHeight="1" x14ac:dyDescent="0.35">
      <c r="A16" s="128" t="s">
        <v>238</v>
      </c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</row>
    <row r="17" spans="1:18" ht="30" customHeight="1" x14ac:dyDescent="0.35">
      <c r="A17" s="129" t="s">
        <v>239</v>
      </c>
      <c r="B17" s="129"/>
      <c r="C17" s="129"/>
      <c r="D17" s="129"/>
      <c r="E17" s="130" t="s">
        <v>240</v>
      </c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</row>
    <row r="18" spans="1:18" ht="30" customHeight="1" x14ac:dyDescent="0.35">
      <c r="A18" s="129" t="s">
        <v>241</v>
      </c>
      <c r="B18" s="129"/>
      <c r="C18" s="129"/>
      <c r="D18" s="129"/>
      <c r="E18" s="130" t="s">
        <v>242</v>
      </c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</row>
    <row r="19" spans="1:18" ht="30" customHeight="1" x14ac:dyDescent="0.35">
      <c r="A19" s="129" t="s">
        <v>243</v>
      </c>
      <c r="B19" s="129"/>
      <c r="C19" s="129"/>
      <c r="D19" s="129"/>
      <c r="E19" s="130" t="s">
        <v>244</v>
      </c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</row>
  </sheetData>
  <mergeCells count="38">
    <mergeCell ref="A19:D19"/>
    <mergeCell ref="E19:R19"/>
    <mergeCell ref="A15:R15"/>
    <mergeCell ref="A16:R16"/>
    <mergeCell ref="A17:D17"/>
    <mergeCell ref="E17:R17"/>
    <mergeCell ref="A18:D18"/>
    <mergeCell ref="E18:R18"/>
    <mergeCell ref="A12:R12"/>
    <mergeCell ref="A13:B13"/>
    <mergeCell ref="D13:E13"/>
    <mergeCell ref="G13:I13"/>
    <mergeCell ref="J13:L13"/>
    <mergeCell ref="M13:O13"/>
    <mergeCell ref="P13:R13"/>
    <mergeCell ref="A9:R9"/>
    <mergeCell ref="A10:C10"/>
    <mergeCell ref="D10:F10"/>
    <mergeCell ref="G10:I10"/>
    <mergeCell ref="J10:L10"/>
    <mergeCell ref="M10:O10"/>
    <mergeCell ref="P10:R10"/>
    <mergeCell ref="A6:R6"/>
    <mergeCell ref="A7:F7"/>
    <mergeCell ref="G7:L7"/>
    <mergeCell ref="M7:R7"/>
    <mergeCell ref="A8:B8"/>
    <mergeCell ref="D8:E8"/>
    <mergeCell ref="G8:H8"/>
    <mergeCell ref="J8:K8"/>
    <mergeCell ref="M8:N8"/>
    <mergeCell ref="P8:Q8"/>
    <mergeCell ref="A1:R1"/>
    <mergeCell ref="A2:R2"/>
    <mergeCell ref="A3:R3"/>
    <mergeCell ref="G4:L4"/>
    <mergeCell ref="G5:H5"/>
    <mergeCell ref="K5:L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zoomScaleNormal="100" workbookViewId="0">
      <selection activeCell="E4" sqref="E4"/>
    </sheetView>
  </sheetViews>
  <sheetFormatPr defaultColWidth="8.6328125" defaultRowHeight="14.5" x14ac:dyDescent="0.35"/>
  <cols>
    <col min="1" max="1" width="32" customWidth="1"/>
    <col min="2" max="5" width="20" customWidth="1"/>
    <col min="6" max="6" width="22" customWidth="1"/>
  </cols>
  <sheetData>
    <row r="1" spans="1:6" ht="36" customHeight="1" x14ac:dyDescent="0.35">
      <c r="A1" s="12" t="s">
        <v>245</v>
      </c>
      <c r="B1" s="12"/>
      <c r="C1" s="12"/>
      <c r="D1" s="12"/>
      <c r="E1" s="12"/>
      <c r="F1" s="12"/>
    </row>
    <row r="2" spans="1:6" ht="18" customHeight="1" x14ac:dyDescent="0.35">
      <c r="A2" s="11" t="s">
        <v>246</v>
      </c>
      <c r="B2" s="11"/>
      <c r="C2" s="11"/>
      <c r="D2" s="11"/>
      <c r="E2" s="11"/>
      <c r="F2" s="11"/>
    </row>
    <row r="3" spans="1:6" ht="27.75" customHeight="1" x14ac:dyDescent="0.35">
      <c r="A3" s="16" t="s">
        <v>247</v>
      </c>
      <c r="B3" s="16" t="s">
        <v>248</v>
      </c>
      <c r="C3" s="16" t="s">
        <v>249</v>
      </c>
      <c r="D3" s="16" t="s">
        <v>250</v>
      </c>
      <c r="E3" s="16" t="s">
        <v>251</v>
      </c>
      <c r="F3" s="16" t="s">
        <v>252</v>
      </c>
    </row>
    <row r="4" spans="1:6" ht="21.75" customHeight="1" x14ac:dyDescent="0.35">
      <c r="A4" s="80" t="s">
        <v>253</v>
      </c>
      <c r="B4" s="81"/>
      <c r="C4" s="81"/>
      <c r="D4" s="81"/>
      <c r="E4" s="82"/>
      <c r="F4" s="82" t="s">
        <v>254</v>
      </c>
    </row>
    <row r="5" spans="1:6" ht="31.5" customHeight="1" x14ac:dyDescent="0.35">
      <c r="A5" s="10" t="s">
        <v>255</v>
      </c>
      <c r="B5" s="10"/>
      <c r="C5" s="10"/>
      <c r="D5" s="10"/>
      <c r="E5" s="10"/>
      <c r="F5" s="10"/>
    </row>
    <row r="6" spans="1:6" ht="21.75" customHeight="1" x14ac:dyDescent="0.35">
      <c r="A6" s="26" t="s">
        <v>256</v>
      </c>
      <c r="B6" s="31"/>
      <c r="C6" s="31"/>
      <c r="D6" s="31"/>
      <c r="E6" s="31"/>
      <c r="F6" s="83" t="str">
        <f>IFERROR(_xlfn.IFS(B6=MIN(B6:D6),"🏆 Company 1",C6=MIN(B6:D6),"🏆 Company 2",D6=MIN(B6:D6),"🏆 Company 3"),"—")</f>
        <v>🏆 Company 1</v>
      </c>
    </row>
    <row r="7" spans="1:6" ht="21.75" customHeight="1" x14ac:dyDescent="0.35">
      <c r="A7" s="23" t="s">
        <v>257</v>
      </c>
      <c r="B7" s="31"/>
      <c r="C7" s="31"/>
      <c r="D7" s="31"/>
      <c r="E7" s="31"/>
      <c r="F7" s="84" t="str">
        <f>IFERROR(_xlfn.IFS(B7=MIN(B7:D7),"🏆 Company 1",C7=MIN(B7:D7),"🏆 Company 2",D7=MIN(B7:D7),"🏆 Company 3"),"—")</f>
        <v>🏆 Company 1</v>
      </c>
    </row>
    <row r="8" spans="1:6" ht="31.5" customHeight="1" x14ac:dyDescent="0.35">
      <c r="A8" s="10" t="s">
        <v>258</v>
      </c>
      <c r="B8" s="10"/>
      <c r="C8" s="10"/>
      <c r="D8" s="10"/>
      <c r="E8" s="10"/>
      <c r="F8" s="10"/>
    </row>
    <row r="9" spans="1:6" ht="21.75" customHeight="1" x14ac:dyDescent="0.35">
      <c r="A9" s="23" t="s">
        <v>259</v>
      </c>
      <c r="B9" s="31"/>
      <c r="C9" s="31"/>
      <c r="D9" s="31"/>
      <c r="E9" s="31"/>
      <c r="F9" s="84" t="str">
        <f>IFERROR(_xlfn.IFS(B9=MAX(B9:D9),"🏆 Company 1",C9=MAX(B9:D9),"🏆 Company 2",D9=MAX(B9:D9),"🏆 Company 3"),"—")</f>
        <v>🏆 Company 1</v>
      </c>
    </row>
    <row r="10" spans="1:6" ht="21.75" customHeight="1" x14ac:dyDescent="0.35">
      <c r="A10" s="26" t="s">
        <v>260</v>
      </c>
      <c r="B10" s="31"/>
      <c r="C10" s="31"/>
      <c r="D10" s="31"/>
      <c r="E10" s="31"/>
      <c r="F10" s="83" t="str">
        <f>IFERROR(_xlfn.IFS(B10=MAX(B10:D10),"🏆 Company 1",C10=MAX(B10:D10),"🏆 Company 2",D10=MAX(B10:D10),"🏆 Company 3"),"—")</f>
        <v>🏆 Company 1</v>
      </c>
    </row>
    <row r="11" spans="1:6" ht="21.75" customHeight="1" x14ac:dyDescent="0.35">
      <c r="A11" s="23" t="s">
        <v>261</v>
      </c>
      <c r="B11" s="31"/>
      <c r="C11" s="31"/>
      <c r="D11" s="31"/>
      <c r="E11" s="31"/>
      <c r="F11" s="84" t="str">
        <f>IFERROR(_xlfn.IFS(B11=MAX(B11:D11),"🏆 Company 1",C11=MAX(B11:D11),"🏆 Company 2",D11=MAX(B11:D11),"🏆 Company 3"),"—")</f>
        <v>🏆 Company 1</v>
      </c>
    </row>
    <row r="12" spans="1:6" ht="21.75" customHeight="1" x14ac:dyDescent="0.35">
      <c r="A12" s="26" t="s">
        <v>262</v>
      </c>
      <c r="B12" s="31"/>
      <c r="C12" s="31"/>
      <c r="D12" s="31"/>
      <c r="E12" s="31"/>
      <c r="F12" s="83" t="str">
        <f>IFERROR(_xlfn.IFS(B12=MAX(B12:D12),"🏆 Company 1",C12=MAX(B12:D12),"🏆 Company 2",D12=MAX(B12:D12),"🏆 Company 3"),"—")</f>
        <v>🏆 Company 1</v>
      </c>
    </row>
    <row r="13" spans="1:6" ht="31.5" customHeight="1" x14ac:dyDescent="0.35">
      <c r="A13" s="10" t="s">
        <v>263</v>
      </c>
      <c r="B13" s="10"/>
      <c r="C13" s="10"/>
      <c r="D13" s="10"/>
      <c r="E13" s="10"/>
      <c r="F13" s="10"/>
    </row>
    <row r="14" spans="1:6" ht="21.75" customHeight="1" x14ac:dyDescent="0.35">
      <c r="A14" s="26" t="s">
        <v>264</v>
      </c>
      <c r="B14" s="31"/>
      <c r="C14" s="31"/>
      <c r="D14" s="31"/>
      <c r="E14" s="31"/>
      <c r="F14" s="83" t="str">
        <f>IFERROR(_xlfn.IFS(B14=MAX(B14:D14),"🏆 Company 1",C14=MAX(B14:D14),"🏆 Company 2",D14=MAX(B14:D14),"🏆 Company 3"),"—")</f>
        <v>🏆 Company 1</v>
      </c>
    </row>
    <row r="15" spans="1:6" ht="21.75" customHeight="1" x14ac:dyDescent="0.35">
      <c r="A15" s="23" t="s">
        <v>265</v>
      </c>
      <c r="B15" s="31"/>
      <c r="C15" s="31"/>
      <c r="D15" s="31"/>
      <c r="E15" s="31"/>
      <c r="F15" s="84" t="str">
        <f>IFERROR(_xlfn.IFS(B15=MIN(B15:D15),"🏆 Company 1",C15=MIN(B15:D15),"🏆 Company 2",D15=MIN(B15:D15),"🏆 Company 3"),"—")</f>
        <v>🏆 Company 1</v>
      </c>
    </row>
    <row r="16" spans="1:6" ht="21.75" customHeight="1" x14ac:dyDescent="0.35">
      <c r="A16" s="26" t="s">
        <v>266</v>
      </c>
      <c r="B16" s="31"/>
      <c r="C16" s="31"/>
      <c r="D16" s="31"/>
      <c r="E16" s="31"/>
      <c r="F16" s="83" t="str">
        <f>IFERROR(_xlfn.IFS(B16=MIN(B16:D16),"🏆 Company 1",C16=MIN(B16:D16),"🏆 Company 2",D16=MIN(B16:D16),"🏆 Company 3"),"—")</f>
        <v>🏆 Company 1</v>
      </c>
    </row>
    <row r="17" spans="1:6" ht="31.5" customHeight="1" x14ac:dyDescent="0.35">
      <c r="A17" s="10" t="s">
        <v>267</v>
      </c>
      <c r="B17" s="10"/>
      <c r="C17" s="10"/>
      <c r="D17" s="10"/>
      <c r="E17" s="10"/>
      <c r="F17" s="10"/>
    </row>
    <row r="18" spans="1:6" ht="21.75" customHeight="1" x14ac:dyDescent="0.35">
      <c r="A18" s="26" t="s">
        <v>268</v>
      </c>
      <c r="B18" s="31"/>
      <c r="C18" s="31"/>
      <c r="D18" s="31"/>
      <c r="E18" s="31"/>
      <c r="F18" s="83" t="str">
        <f>IFERROR(_xlfn.IFS(B18=MAX(B18:D18),"🏆 Company 1",C18=MAX(B18:D18),"🏆 Company 2",D18=MAX(B18:D18),"🏆 Company 3"),"—")</f>
        <v>🏆 Company 1</v>
      </c>
    </row>
    <row r="19" spans="1:6" ht="21.75" customHeight="1" x14ac:dyDescent="0.35">
      <c r="A19" s="23" t="s">
        <v>269</v>
      </c>
      <c r="B19" s="31"/>
      <c r="C19" s="31"/>
      <c r="D19" s="31"/>
      <c r="E19" s="31"/>
      <c r="F19" s="84" t="str">
        <f>IFERROR(_xlfn.IFS(B19=MAX(B19:D19),"🏆 Company 1",C19=MAX(B19:D19),"🏆 Company 2",D19=MAX(B19:D19),"🏆 Company 3"),"—")</f>
        <v>🏆 Company 1</v>
      </c>
    </row>
    <row r="20" spans="1:6" ht="31.5" customHeight="1" x14ac:dyDescent="0.35">
      <c r="A20" s="10" t="s">
        <v>270</v>
      </c>
      <c r="B20" s="10"/>
      <c r="C20" s="10"/>
      <c r="D20" s="10"/>
      <c r="E20" s="10"/>
      <c r="F20" s="10"/>
    </row>
    <row r="21" spans="1:6" ht="21.75" customHeight="1" x14ac:dyDescent="0.35">
      <c r="A21" s="23" t="s">
        <v>271</v>
      </c>
      <c r="B21" s="31"/>
      <c r="C21" s="31"/>
      <c r="D21" s="31"/>
      <c r="E21" s="31"/>
      <c r="F21" s="84" t="str">
        <f>IFERROR(_xlfn.IFS(B21=MAX(B21:D21),"🏆 Company 1",C21=MAX(B21:D21),"🏆 Company 2",D21=MAX(B21:D21),"🏆 Company 3"),"—")</f>
        <v>🏆 Company 1</v>
      </c>
    </row>
    <row r="22" spans="1:6" ht="21.75" customHeight="1" x14ac:dyDescent="0.35">
      <c r="A22" s="26" t="s">
        <v>272</v>
      </c>
      <c r="B22" s="31"/>
      <c r="C22" s="31"/>
      <c r="D22" s="31"/>
      <c r="E22" s="31"/>
      <c r="F22" s="83" t="str">
        <f>IFERROR(_xlfn.IFS(B22=MAX(B22:D22),"🏆 Company 1",C22=MAX(B22:D22),"🏆 Company 2",D22=MAX(B22:D22),"🏆 Company 3"),"—")</f>
        <v>🏆 Company 1</v>
      </c>
    </row>
    <row r="24" spans="1:6" ht="18" customHeight="1" x14ac:dyDescent="0.35">
      <c r="A24" s="9" t="s">
        <v>273</v>
      </c>
      <c r="B24" s="9"/>
      <c r="C24" s="9"/>
      <c r="D24" s="9"/>
      <c r="E24" s="9"/>
      <c r="F24" s="9"/>
    </row>
  </sheetData>
  <mergeCells count="8">
    <mergeCell ref="A17:F17"/>
    <mergeCell ref="A20:F20"/>
    <mergeCell ref="A24:F24"/>
    <mergeCell ref="A1:F1"/>
    <mergeCell ref="A2:F2"/>
    <mergeCell ref="A5:F5"/>
    <mergeCell ref="A8:F8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9"/>
  <sheetViews>
    <sheetView zoomScaleNormal="100" workbookViewId="0">
      <selection activeCell="A12" sqref="A12"/>
    </sheetView>
  </sheetViews>
  <sheetFormatPr defaultColWidth="8.6328125" defaultRowHeight="14.5" x14ac:dyDescent="0.35"/>
  <cols>
    <col min="1" max="1" width="22" customWidth="1"/>
    <col min="2" max="2" width="92.54296875" customWidth="1"/>
  </cols>
  <sheetData>
    <row r="1" spans="1:2" ht="36" customHeight="1" x14ac:dyDescent="0.35">
      <c r="A1" s="12" t="s">
        <v>274</v>
      </c>
      <c r="B1" s="12"/>
    </row>
    <row r="2" spans="1:2" ht="19.5" customHeight="1" x14ac:dyDescent="0.35">
      <c r="A2" s="85" t="s">
        <v>275</v>
      </c>
      <c r="B2" s="85" t="s">
        <v>276</v>
      </c>
    </row>
    <row r="3" spans="1:2" ht="19.5" customHeight="1" x14ac:dyDescent="0.35">
      <c r="A3" s="86" t="s">
        <v>277</v>
      </c>
      <c r="B3" s="87" t="s">
        <v>278</v>
      </c>
    </row>
    <row r="4" spans="1:2" ht="19.5" customHeight="1" x14ac:dyDescent="0.35">
      <c r="A4" s="13" t="s">
        <v>279</v>
      </c>
      <c r="B4" s="88" t="s">
        <v>280</v>
      </c>
    </row>
    <row r="5" spans="1:2" ht="19.5" customHeight="1" x14ac:dyDescent="0.35">
      <c r="A5" s="86" t="s">
        <v>281</v>
      </c>
      <c r="B5" s="87" t="s">
        <v>282</v>
      </c>
    </row>
    <row r="6" spans="1:2" ht="19.5" customHeight="1" x14ac:dyDescent="0.35">
      <c r="A6" s="13" t="s">
        <v>283</v>
      </c>
      <c r="B6" s="88" t="s">
        <v>284</v>
      </c>
    </row>
    <row r="7" spans="1:2" ht="19.5" customHeight="1" x14ac:dyDescent="0.35">
      <c r="A7" s="86" t="s">
        <v>285</v>
      </c>
      <c r="B7" s="87" t="s">
        <v>286</v>
      </c>
    </row>
    <row r="8" spans="1:2" ht="19.5" customHeight="1" x14ac:dyDescent="0.35">
      <c r="A8" s="13" t="s">
        <v>287</v>
      </c>
      <c r="B8" s="88" t="s">
        <v>288</v>
      </c>
    </row>
    <row r="9" spans="1:2" ht="19.5" customHeight="1" x14ac:dyDescent="0.35">
      <c r="B9" s="89"/>
    </row>
    <row r="10" spans="1:2" ht="19.5" customHeight="1" x14ac:dyDescent="0.35">
      <c r="A10" s="13" t="s">
        <v>289</v>
      </c>
      <c r="B10" s="88" t="s">
        <v>290</v>
      </c>
    </row>
    <row r="11" spans="1:2" ht="19.5" customHeight="1" x14ac:dyDescent="0.35">
      <c r="A11" s="86" t="s">
        <v>291</v>
      </c>
      <c r="B11" s="87" t="s">
        <v>292</v>
      </c>
    </row>
    <row r="12" spans="1:2" ht="19.5" customHeight="1" x14ac:dyDescent="0.35">
      <c r="A12" s="131" t="s">
        <v>293</v>
      </c>
      <c r="B12" s="131"/>
    </row>
    <row r="13" spans="1:2" ht="19.5" customHeight="1" x14ac:dyDescent="0.35">
      <c r="A13" s="86" t="s">
        <v>294</v>
      </c>
      <c r="B13" s="87" t="s">
        <v>295</v>
      </c>
    </row>
    <row r="14" spans="1:2" ht="19.5" customHeight="1" x14ac:dyDescent="0.35">
      <c r="A14" s="13" t="s">
        <v>296</v>
      </c>
      <c r="B14" s="88" t="s">
        <v>297</v>
      </c>
    </row>
    <row r="15" spans="1:2" ht="19.5" customHeight="1" x14ac:dyDescent="0.35">
      <c r="A15" s="86" t="s">
        <v>298</v>
      </c>
      <c r="B15" s="87" t="s">
        <v>299</v>
      </c>
    </row>
    <row r="16" spans="1:2" ht="19.5" customHeight="1" x14ac:dyDescent="0.35">
      <c r="A16" s="13" t="s">
        <v>300</v>
      </c>
      <c r="B16" s="88" t="s">
        <v>301</v>
      </c>
    </row>
    <row r="17" spans="1:2" ht="19.5" customHeight="1" x14ac:dyDescent="0.35">
      <c r="A17" s="86" t="s">
        <v>302</v>
      </c>
      <c r="B17" s="87" t="s">
        <v>303</v>
      </c>
    </row>
    <row r="18" spans="1:2" ht="19.5" customHeight="1" x14ac:dyDescent="0.35">
      <c r="A18" s="13" t="s">
        <v>304</v>
      </c>
      <c r="B18" s="88" t="s">
        <v>305</v>
      </c>
    </row>
    <row r="19" spans="1:2" ht="19.5" customHeight="1" x14ac:dyDescent="0.35">
      <c r="A19" s="86" t="s">
        <v>137</v>
      </c>
      <c r="B19" s="87" t="s">
        <v>306</v>
      </c>
    </row>
  </sheetData>
  <mergeCells count="2">
    <mergeCell ref="A1:B1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Setup</vt:lpstr>
      <vt:lpstr>FMP_Data</vt:lpstr>
      <vt:lpstr>Input_Data</vt:lpstr>
      <vt:lpstr>Analysis</vt:lpstr>
      <vt:lpstr>My_Position</vt:lpstr>
      <vt:lpstr>DuPont_Pyramid</vt:lpstr>
      <vt:lpstr>Sector_Benchmark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salvadorj97@outlook.com</dc:creator>
  <dc:description/>
  <cp:lastModifiedBy>JIMENEZ JUAREZ Salvador</cp:lastModifiedBy>
  <cp:revision>0</cp:revision>
  <dcterms:created xsi:type="dcterms:W3CDTF">2026-08-14T01:19:16Z</dcterms:created>
  <dcterms:modified xsi:type="dcterms:W3CDTF">2026-08-24T17:26:07Z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2c0ccb59-36d2-4204-ab98-d93d80ecfdf1</vt:lpwstr>
  </property>
</Properties>
</file>